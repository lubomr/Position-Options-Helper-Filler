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openxmlformats-officedocument.vmlDrawing" Extension="vml"/>
  <Default ContentType="application/vnd.ms-office.vbaProject" Extension="bin"/>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drawing+xml" PartName="/xl/drawings/drawing1.xml"/>
  <Override ContentType="application/vnd.openxmlformats-officedocument.spreadsheetml.comments+xml" PartName="/xl/comments/commen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drawing+xml" PartName="/xl/drawings/drawing2.xml"/>
  <Override ContentType="application/vnd.openxmlformats-officedocument.drawingml.chart+xml" PartName="/xl/charts/chart1.xml"/>
  <Override ContentType="application/vnd.openxmlformats-officedocument.drawingml.chart+xml" PartName="/xl/charts/chart2.xml"/>
  <Override ContentType="application/vnd.ms-excel.sheet.macroEnabled.main+xml" PartName="/xl/workbook.xml"/>
  <Override ContentType="application/vnd.ms-excel.controlproperties+xml" PartName="/xl/ctrlProps/ctrlProp1.xml"/>
  <Override ContentType="application/vnd.ms-excel.controlproperties+xml" PartName="/xl/ctrlProps/ctrlProp2.xml"/>
  <Override ContentType="application/vnd.openxmlformats-officedocument.spreadsheetml.comments+xml" PartName="/xl/comments1.xml"/>
  <Override ContentType="application/vnd.openxmlformats-officedocument.spreadsheetml.calcChain+xml" PartName="/xl/calcChain.xml"/>
  <Override ContentType="application/vnd.ms-office.vbaProject" PartName="/xl/vbaProject.bin"/>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0" autoFilterDateGrouping="1" firstSheet="0" minimized="0" showHorizontalScroll="1" showSheetTabs="1" showVerticalScroll="1" tabRatio="914" visibility="visible" windowHeight="9390" windowWidth="21840" xWindow="0" yWindow="0"/>
  </bookViews>
  <sheets>
    <sheet name="New Forex" sheetId="1" state="visible" r:id="rId1"/>
    <sheet name="Trading diary" sheetId="2" state="visible" r:id="rId2"/>
    <sheet name="EMA proportions" sheetId="3" state="visible" r:id="rId3"/>
  </sheets>
  <definedNames>
    <definedName hidden="1" localSheetId="1" name="_xlnm._FilterDatabase">'Trading diary'!$A$1:$AA$153</definedName>
  </definedNames>
  <calcPr calcId="152511" fullCalcOnLoad="1"/>
</workbook>
</file>

<file path=xl/sharedStrings.xml><?xml version="1.0" encoding="utf-8"?>
<sst xmlns="http://schemas.openxmlformats.org/spreadsheetml/2006/main" uniqueCount="60">
  <si>
    <t>D</t>
  </si>
  <si>
    <t>Traded Lot=</t>
  </si>
  <si>
    <t>1 pip=</t>
  </si>
  <si>
    <t>Price/lot=</t>
  </si>
  <si>
    <t>SL pip=</t>
  </si>
  <si>
    <t>TP-Co=</t>
  </si>
  <si>
    <t>MY OWN MOOD</t>
  </si>
  <si>
    <t>date</t>
  </si>
  <si>
    <t>Open</t>
  </si>
  <si>
    <t>high</t>
  </si>
  <si>
    <t>low</t>
  </si>
  <si>
    <t>close</t>
  </si>
  <si>
    <t>Pin Bars</t>
  </si>
  <si>
    <t>Inside Engulf Fakey</t>
  </si>
  <si>
    <t>GAP Finder</t>
  </si>
  <si>
    <t>SL-pips</t>
  </si>
  <si>
    <t>SL-price</t>
  </si>
  <si>
    <t>NewPos-pips</t>
  </si>
  <si>
    <t>TP-pips</t>
  </si>
  <si>
    <t>TP-price</t>
  </si>
  <si>
    <t>Position type</t>
  </si>
  <si>
    <t>L/S</t>
  </si>
  <si>
    <t>SL</t>
  </si>
  <si>
    <t>TP</t>
  </si>
  <si>
    <t>Instant Result</t>
  </si>
  <si>
    <t>No</t>
  </si>
  <si>
    <t>New Position (pips)</t>
  </si>
  <si>
    <t>TP (pips)</t>
  </si>
  <si>
    <t>TP (price)</t>
  </si>
  <si>
    <t>Own Mood</t>
  </si>
  <si>
    <t>Position Closed (Date)</t>
  </si>
  <si>
    <t>SL TP</t>
  </si>
  <si>
    <t>Result (BGN)</t>
  </si>
  <si>
    <t>SUM</t>
  </si>
  <si>
    <t>High</t>
  </si>
  <si>
    <t>Low</t>
  </si>
  <si>
    <t>Close</t>
  </si>
  <si>
    <t>Pin Type</t>
  </si>
  <si>
    <t>SL (pips)</t>
  </si>
  <si>
    <t>T/P Co</t>
  </si>
  <si>
    <t>LOTS</t>
  </si>
  <si>
    <t>N</t>
  </si>
  <si>
    <t>Traded instrument</t>
  </si>
  <si>
    <t>Trade Signal (Date)</t>
  </si>
  <si>
    <t>TP/SL Co</t>
  </si>
  <si>
    <t>SWAP</t>
  </si>
  <si>
    <t>SL Co</t>
  </si>
  <si>
    <t>TP Co</t>
  </si>
  <si>
    <t>Time Frame</t>
  </si>
  <si>
    <t>Fast EMA</t>
  </si>
  <si>
    <t>Slow EMA</t>
  </si>
  <si>
    <t>Al EMA</t>
  </si>
  <si>
    <t>1M</t>
  </si>
  <si>
    <t>1W</t>
  </si>
  <si>
    <t>1D</t>
  </si>
  <si>
    <t>4H</t>
  </si>
  <si>
    <t>1H</t>
  </si>
  <si>
    <t>30M</t>
  </si>
  <si>
    <t>15M</t>
  </si>
  <si>
    <t>5M</t>
  </si>
</sst>
</file>

<file path=xl/styles.xml><?xml version="1.0" encoding="utf-8"?>
<styleSheet xmlns="http://schemas.openxmlformats.org/spreadsheetml/2006/main">
  <numFmts count="4">
    <numFmt formatCode="0.00000" numFmtId="164"/>
    <numFmt formatCode="0.0000" numFmtId="165"/>
    <numFmt formatCode="0.0" numFmtId="166"/>
    <numFmt formatCode="m/d/yyyy;@" numFmtId="167"/>
  </numFmts>
  <fonts count="13">
    <font>
      <name val="Calibri"/>
      <charset val="204"/>
      <family val="2"/>
      <color theme="1"/>
      <sz val="11"/>
      <scheme val="minor"/>
    </font>
    <font>
      <name val="Calibri"/>
      <charset val="204"/>
      <family val="2"/>
      <sz val="9"/>
      <scheme val="minor"/>
    </font>
    <font>
      <name val="Calibri"/>
      <family val="2"/>
      <b val="1"/>
      <color rgb="FFFFFF00"/>
      <sz val="9"/>
      <scheme val="minor"/>
    </font>
    <font>
      <name val="Calibri"/>
      <family val="2"/>
      <b val="1"/>
      <color rgb="FFFF0000"/>
      <sz val="16"/>
      <scheme val="minor"/>
    </font>
    <font>
      <name val="Calibri"/>
      <family val="2"/>
      <b val="1"/>
      <color theme="1"/>
      <sz val="9"/>
      <scheme val="minor"/>
    </font>
    <font>
      <name val="Calibri"/>
      <family val="2"/>
      <b val="1"/>
      <sz val="9"/>
      <scheme val="minor"/>
    </font>
    <font>
      <name val="Calibri"/>
      <family val="2"/>
      <b val="1"/>
      <color rgb="FFFF0000"/>
      <sz val="9"/>
      <scheme val="minor"/>
    </font>
    <font>
      <name val="Calibri"/>
      <family val="2"/>
      <b val="1"/>
      <color rgb="FF00FF00"/>
      <sz val="9"/>
      <scheme val="minor"/>
    </font>
    <font>
      <name val="Calibri"/>
      <family val="2"/>
      <b val="1"/>
      <color theme="1"/>
      <sz val="12"/>
      <scheme val="minor"/>
    </font>
    <font>
      <name val="Calibri"/>
      <family val="2"/>
      <b val="1"/>
      <color rgb="FFFFFF00"/>
      <sz val="9"/>
      <u val="single"/>
      <scheme val="minor"/>
    </font>
    <font>
      <name val="Calibri"/>
      <family val="2"/>
      <b val="1"/>
      <i val="1"/>
      <color rgb="FFFFFF00"/>
      <sz val="9"/>
      <scheme val="minor"/>
    </font>
    <font>
      <name val="Calibri"/>
      <family val="2"/>
      <b val="1"/>
      <color rgb="FF000000"/>
      <sz val="8"/>
      <scheme val="minor"/>
    </font>
    <font>
      <name val="Calibri"/>
      <family val="2"/>
      <b val="1"/>
      <color rgb="FFFF0000"/>
      <sz val="14"/>
      <scheme val="minor"/>
    </font>
  </fonts>
  <fills count="18">
    <fill>
      <patternFill/>
    </fill>
    <fill>
      <patternFill patternType="gray125"/>
    </fill>
    <fill>
      <patternFill patternType="solid">
        <fgColor rgb="FFFFFF00"/>
        <bgColor indexed="64"/>
      </patternFill>
    </fill>
    <fill>
      <patternFill patternType="solid">
        <fgColor theme="4" tint="0.5999938962981048"/>
        <bgColor indexed="64"/>
      </patternFill>
    </fill>
    <fill>
      <patternFill patternType="solid">
        <fgColor rgb="FFFF3300"/>
        <bgColor indexed="64"/>
      </patternFill>
    </fill>
    <fill>
      <patternFill patternType="solid">
        <fgColor rgb="FF00FF00"/>
        <bgColor indexed="64"/>
      </patternFill>
    </fill>
    <fill>
      <patternFill patternType="solid">
        <fgColor rgb="FFFFC000"/>
        <bgColor indexed="64"/>
      </patternFill>
    </fill>
    <fill>
      <patternFill patternType="solid">
        <fgColor theme="1"/>
        <bgColor indexed="64"/>
      </patternFill>
    </fill>
    <fill>
      <patternFill patternType="solid">
        <fgColor theme="7" tint="0.3999755851924192"/>
        <bgColor indexed="64"/>
      </patternFill>
    </fill>
    <fill>
      <patternFill patternType="solid">
        <fgColor rgb="FFFF0000"/>
        <bgColor indexed="64"/>
      </patternFill>
    </fill>
    <fill>
      <patternFill patternType="solid">
        <fgColor theme="9" tint="0.3999755851924192"/>
        <bgColor indexed="64"/>
      </patternFill>
    </fill>
    <fill>
      <patternFill patternType="solid">
        <fgColor theme="5" tint="0.3999755851924192"/>
        <bgColor indexed="64"/>
      </patternFill>
    </fill>
    <fill>
      <patternFill patternType="solid">
        <fgColor rgb="FFFFFFCC"/>
        <bgColor indexed="64"/>
      </patternFill>
    </fill>
    <fill>
      <patternFill patternType="solid">
        <fgColor theme="5"/>
        <bgColor indexed="64"/>
      </patternFill>
    </fill>
    <fill>
      <patternFill patternType="solid">
        <fgColor theme="4" tint="0.3999755851924192"/>
        <bgColor indexed="64"/>
      </patternFill>
    </fill>
    <fill>
      <patternFill patternType="solid">
        <fgColor theme="4" tint="-0.249977111117893"/>
        <bgColor indexed="64"/>
      </patternFill>
    </fill>
    <fill>
      <patternFill patternType="solid">
        <fgColor rgb="FFFFFF99"/>
        <bgColor indexed="64"/>
      </patternFill>
    </fill>
    <fill>
      <patternFill patternType="solid">
        <fgColor theme="7"/>
        <bgColor indexed="64"/>
      </patternFill>
    </fill>
  </fills>
  <borders count="63">
    <border>
      <left/>
      <right/>
      <top/>
      <bottom/>
      <diagonal/>
    </border>
    <border>
      <left style="thin">
        <color auto="1"/>
      </left>
      <right style="thin">
        <color auto="1"/>
      </right>
      <top style="thin">
        <color auto="1"/>
      </top>
      <bottom style="thin">
        <color auto="1"/>
      </bottom>
      <diagonal/>
    </border>
    <border>
      <left/>
      <right/>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n">
        <color auto="1"/>
      </left>
      <right style="thin">
        <color auto="1"/>
      </right>
      <top style="thick">
        <color auto="1"/>
      </top>
      <bottom style="thick">
        <color auto="1"/>
      </bottom>
      <diagonal/>
    </border>
    <border>
      <left style="dotted">
        <color auto="1"/>
      </left>
      <right style="dotted">
        <color auto="1"/>
      </right>
      <top style="dotted">
        <color auto="1"/>
      </top>
      <bottom style="dotted">
        <color auto="1"/>
      </bottom>
      <diagonal/>
    </border>
    <border>
      <left style="dotted">
        <color auto="1"/>
      </left>
      <right style="dotted">
        <color auto="1"/>
      </right>
      <top/>
      <bottom style="dotted">
        <color auto="1"/>
      </bottom>
      <diagonal/>
    </border>
    <border>
      <left style="thin">
        <color auto="1"/>
      </left>
      <right/>
      <top style="thick">
        <color auto="1"/>
      </top>
      <bottom style="thick">
        <color auto="1"/>
      </bottom>
      <diagonal/>
    </border>
    <border>
      <left style="medium">
        <color auto="1"/>
      </left>
      <right style="medium">
        <color auto="1"/>
      </right>
      <top style="medium">
        <color auto="1"/>
      </top>
      <bottom style="medium">
        <color auto="1"/>
      </bottom>
      <diagonal/>
    </border>
    <border>
      <left style="thick">
        <color auto="1"/>
      </left>
      <right style="dotted">
        <color auto="1"/>
      </right>
      <top style="dotted">
        <color auto="1"/>
      </top>
      <bottom style="dotted">
        <color auto="1"/>
      </bottom>
      <diagonal/>
    </border>
    <border>
      <left style="thin">
        <color auto="1"/>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dotted">
        <color auto="1"/>
      </right>
      <top/>
      <bottom style="dotted">
        <color auto="1"/>
      </bottom>
      <diagonal/>
    </border>
    <border>
      <left style="dotted">
        <color auto="1"/>
      </left>
      <right/>
      <top style="dotted">
        <color auto="1"/>
      </top>
      <bottom style="dotted">
        <color auto="1"/>
      </bottom>
      <diagonal/>
    </border>
    <border>
      <left/>
      <right style="thin">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auto="1"/>
      </left>
      <right style="medium">
        <color auto="1"/>
      </right>
      <top style="dotted">
        <color auto="1"/>
      </top>
      <bottom style="dotted">
        <color auto="1"/>
      </bottom>
      <diagonal/>
    </border>
    <border>
      <left style="dotted">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right style="medium">
        <color auto="1"/>
      </right>
      <top style="dotted">
        <color auto="1"/>
      </top>
      <bottom style="medium">
        <color auto="1"/>
      </bottom>
      <diagonal/>
    </border>
    <border>
      <left style="dotted">
        <color auto="1"/>
      </left>
      <right style="dashed">
        <color auto="1"/>
      </right>
      <top style="dashed">
        <color auto="1"/>
      </top>
      <bottom/>
      <diagonal/>
    </border>
    <border>
      <left style="dashed">
        <color auto="1"/>
      </left>
      <right style="dashed">
        <color auto="1"/>
      </right>
      <top style="dashed">
        <color auto="1"/>
      </top>
      <bottom/>
      <diagonal/>
    </border>
    <border>
      <left/>
      <right style="medium">
        <color auto="1"/>
      </right>
      <top style="medium">
        <color auto="1"/>
      </top>
      <bottom style="medium">
        <color auto="1"/>
      </bottom>
      <diagonal/>
    </border>
    <border>
      <left style="thick">
        <color auto="1"/>
      </left>
      <right style="thick">
        <color auto="1"/>
      </right>
      <top/>
      <bottom style="thick">
        <color auto="1"/>
      </bottom>
      <diagonal/>
    </border>
    <border>
      <left style="medium">
        <color auto="1"/>
      </left>
      <right style="medium">
        <color auto="1"/>
      </right>
      <top style="thick">
        <color auto="1"/>
      </top>
      <bottom style="dashed">
        <color auto="1"/>
      </bottom>
      <diagonal/>
    </border>
    <border>
      <left/>
      <right/>
      <top/>
      <bottom style="medium">
        <color auto="1"/>
      </bottom>
      <diagonal/>
    </border>
    <border>
      <left style="medium">
        <color auto="1"/>
      </left>
      <right style="medium">
        <color auto="1"/>
      </right>
      <top style="dashed">
        <color auto="1"/>
      </top>
      <bottom style="dotted">
        <color auto="1"/>
      </bottom>
      <diagonal/>
    </border>
    <border>
      <left style="thick">
        <color auto="1"/>
      </left>
      <right style="thick">
        <color auto="1"/>
      </right>
      <top style="thick">
        <color auto="1"/>
      </top>
      <bottom style="dashed">
        <color auto="1"/>
      </bottom>
      <diagonal/>
    </border>
    <border>
      <left style="thick">
        <color auto="1"/>
      </left>
      <right style="thick">
        <color auto="1"/>
      </right>
      <top style="dashed">
        <color auto="1"/>
      </top>
      <bottom style="dashed">
        <color auto="1"/>
      </bottom>
      <diagonal/>
    </border>
    <border>
      <left style="thick">
        <color auto="1"/>
      </left>
      <right style="thick">
        <color auto="1"/>
      </right>
      <top style="dashed">
        <color auto="1"/>
      </top>
      <bottom style="thick">
        <color auto="1"/>
      </bottom>
      <diagonal/>
    </border>
    <border>
      <left style="medium">
        <color auto="1"/>
      </left>
      <right/>
      <top style="medium">
        <color auto="1"/>
      </top>
      <bottom style="medium">
        <color auto="1"/>
      </bottom>
      <diagonal/>
    </border>
    <border>
      <left style="dashed">
        <color auto="1"/>
      </left>
      <right style="dashed">
        <color auto="1"/>
      </right>
      <top style="thick">
        <color auto="1"/>
      </top>
      <bottom style="dashed">
        <color auto="1"/>
      </bottom>
      <diagonal/>
    </border>
    <border>
      <left style="dashed">
        <color auto="1"/>
      </left>
      <right style="dashed">
        <color auto="1"/>
      </right>
      <top/>
      <bottom style="dashed">
        <color auto="1"/>
      </bottom>
      <diagonal/>
    </border>
    <border>
      <left style="dotted">
        <color auto="1"/>
      </left>
      <right/>
      <top/>
      <bottom style="dotted">
        <color auto="1"/>
      </bottom>
      <diagonal/>
    </border>
    <border>
      <left style="thick">
        <color auto="1"/>
      </left>
      <right style="dotted">
        <color auto="1"/>
      </right>
      <top style="thick">
        <color auto="1"/>
      </top>
      <bottom style="dotted">
        <color auto="1"/>
      </bottom>
      <diagonal/>
    </border>
    <border>
      <left style="thick">
        <color auto="1"/>
      </left>
      <right style="dotted">
        <color auto="1"/>
      </right>
      <top style="dotted">
        <color auto="1"/>
      </top>
      <bottom style="medium">
        <color auto="1"/>
      </bottom>
      <diagonal/>
    </border>
    <border>
      <left style="thick">
        <color auto="1"/>
      </left>
      <right style="thin">
        <color auto="1"/>
      </right>
      <top style="thick">
        <color auto="1"/>
      </top>
      <bottom style="thick">
        <color auto="1"/>
      </bottom>
      <diagonal/>
    </border>
    <border>
      <left style="dashed">
        <color auto="1"/>
      </left>
      <right/>
      <top style="dashed">
        <color auto="1"/>
      </top>
      <bottom style="dashed">
        <color auto="1"/>
      </bottom>
      <diagonal/>
    </border>
    <border>
      <left style="dashed">
        <color auto="1"/>
      </left>
      <right/>
      <top style="dashed">
        <color auto="1"/>
      </top>
      <bottom/>
      <diagonal/>
    </border>
    <border>
      <left style="medium">
        <color auto="1"/>
      </left>
      <right style="thick">
        <color auto="1"/>
      </right>
      <top style="thick">
        <color auto="1"/>
      </top>
      <bottom style="dashed">
        <color auto="1"/>
      </bottom>
      <diagonal/>
    </border>
    <border>
      <left style="thick">
        <color auto="1"/>
      </left>
      <right style="medium">
        <color auto="1"/>
      </right>
      <top style="dotted">
        <color auto="1"/>
      </top>
      <bottom style="dotted">
        <color auto="1"/>
      </bottom>
      <diagonal/>
    </border>
    <border>
      <left style="medium">
        <color auto="1"/>
      </left>
      <right style="thick">
        <color auto="1"/>
      </right>
      <top/>
      <bottom style="dotted">
        <color auto="1"/>
      </bottom>
      <diagonal/>
    </border>
    <border>
      <left style="medium">
        <color auto="1"/>
      </left>
      <right style="thick">
        <color auto="1"/>
      </right>
      <top style="dotted">
        <color auto="1"/>
      </top>
      <bottom style="dotted">
        <color auto="1"/>
      </bottom>
      <diagonal/>
    </border>
    <border>
      <left style="thick">
        <color auto="1"/>
      </left>
      <right style="medium">
        <color auto="1"/>
      </right>
      <top style="dotted">
        <color auto="1"/>
      </top>
      <bottom style="medium">
        <color auto="1"/>
      </bottom>
      <diagonal/>
    </border>
    <border>
      <left style="thick">
        <color auto="1"/>
      </left>
      <right style="medium">
        <color auto="1"/>
      </right>
      <top style="medium">
        <color auto="1"/>
      </top>
      <bottom style="thick">
        <color auto="1"/>
      </bottom>
      <diagonal/>
    </border>
    <border>
      <left style="medium">
        <color auto="1"/>
      </left>
      <right style="medium">
        <color auto="1"/>
      </right>
      <top style="medium">
        <color auto="1"/>
      </top>
      <bottom style="thick">
        <color auto="1"/>
      </bottom>
      <diagonal/>
    </border>
    <border>
      <left style="medium">
        <color auto="1"/>
      </left>
      <right style="thick">
        <color auto="1"/>
      </right>
      <top style="medium">
        <color auto="1"/>
      </top>
      <bottom style="thick">
        <color auto="1"/>
      </bottom>
      <diagonal/>
    </border>
    <border>
      <left style="thick">
        <color auto="1"/>
      </left>
      <right style="medium">
        <color auto="1"/>
      </right>
      <top style="thick">
        <color auto="1"/>
      </top>
      <bottom style="thick">
        <color auto="1"/>
      </bottom>
      <diagonal/>
    </border>
    <border>
      <left style="medium">
        <color auto="1"/>
      </left>
      <right style="thick">
        <color auto="1"/>
      </right>
      <top style="thick">
        <color auto="1"/>
      </top>
      <bottom style="thick">
        <color auto="1"/>
      </bottom>
      <diagonal/>
    </border>
    <border>
      <left style="dotted">
        <color auto="1"/>
      </left>
      <right style="thick">
        <color auto="1"/>
      </right>
      <top style="dotted">
        <color auto="1"/>
      </top>
      <bottom style="dotted">
        <color auto="1"/>
      </bottom>
      <diagonal/>
    </border>
    <border>
      <left style="thick">
        <color auto="1"/>
      </left>
      <right style="medium">
        <color auto="1"/>
      </right>
      <top/>
      <bottom style="dotted">
        <color auto="1"/>
      </bottom>
      <diagonal/>
    </border>
    <border>
      <left style="medium">
        <color auto="1"/>
      </left>
      <right style="thick">
        <color auto="1"/>
      </right>
      <top style="dotted">
        <color auto="1"/>
      </top>
      <bottom/>
      <diagonal/>
    </border>
    <border>
      <left style="thick">
        <color rgb="FFFF0000"/>
      </left>
      <right/>
      <top style="thick">
        <color rgb="FFFF0000"/>
      </top>
      <bottom style="thin">
        <color rgb="FFFF0000"/>
      </bottom>
      <diagonal/>
    </border>
    <border>
      <left style="thick">
        <color rgb="FFFF0000"/>
      </left>
      <right/>
      <top style="thin">
        <color rgb="FFFF0000"/>
      </top>
      <bottom style="thin">
        <color rgb="FFFF0000"/>
      </bottom>
      <diagonal/>
    </border>
    <border>
      <left style="thick">
        <color rgb="FFFF0000"/>
      </left>
      <right/>
      <top style="thin">
        <color rgb="FFFF0000"/>
      </top>
      <bottom style="thick">
        <color rgb="FFFF0000"/>
      </bottom>
      <diagonal/>
    </border>
    <border>
      <left style="thick">
        <color rgb="FF00FF00"/>
      </left>
      <right style="thick">
        <color rgb="FF00FF00"/>
      </right>
      <top style="thick">
        <color rgb="FF00FF00"/>
      </top>
      <bottom style="thin">
        <color rgb="FF00FF00"/>
      </bottom>
      <diagonal/>
    </border>
    <border>
      <left style="thick">
        <color rgb="FF00FF00"/>
      </left>
      <right style="thick">
        <color rgb="FF00FF00"/>
      </right>
      <top style="thin">
        <color rgb="FF00FF00"/>
      </top>
      <bottom style="thin">
        <color rgb="FF00FF00"/>
      </bottom>
      <diagonal/>
    </border>
    <border>
      <left style="thick">
        <color rgb="FF00FF00"/>
      </left>
      <right style="thick">
        <color rgb="FF00FF00"/>
      </right>
      <top style="thin">
        <color rgb="FF00FF00"/>
      </top>
      <bottom style="thick">
        <color rgb="FF00FF00"/>
      </bottom>
      <diagonal/>
    </border>
  </borders>
  <cellStyleXfs count="1">
    <xf borderId="0" fillId="0" fontId="0" numFmtId="0"/>
  </cellStyleXfs>
  <cellXfs count="167">
    <xf borderId="0" fillId="0" fontId="0" numFmtId="0" pivotButton="0" quotePrefix="0" xfId="0"/>
    <xf applyAlignment="1" borderId="1" fillId="0" fontId="0" numFmtId="0" pivotButton="0" quotePrefix="0" xfId="0">
      <alignment horizontal="center" vertical="center"/>
    </xf>
    <xf applyAlignment="1" borderId="1" fillId="0" fontId="0" numFmtId="0" pivotButton="0" quotePrefix="0" xfId="0">
      <alignment horizontal="center" vertical="center" wrapText="1"/>
    </xf>
    <xf applyAlignment="1" borderId="9" fillId="9" fontId="2" numFmtId="2" pivotButton="0" quotePrefix="0" xfId="0">
      <alignment horizontal="center" vertical="center"/>
    </xf>
    <xf applyAlignment="1" borderId="4" fillId="6" fontId="4" numFmtId="2" pivotButton="0" quotePrefix="0" xfId="0">
      <alignment horizontal="left" vertical="center"/>
    </xf>
    <xf applyAlignment="1" borderId="3" fillId="2" fontId="4" numFmtId="0" pivotButton="0" quotePrefix="0" xfId="0">
      <alignment horizontal="right" vertical="center"/>
    </xf>
    <xf applyAlignment="1" borderId="3" fillId="4" fontId="4" numFmtId="0" pivotButton="0" quotePrefix="0" xfId="0">
      <alignment horizontal="right" vertical="center"/>
    </xf>
    <xf applyAlignment="1" borderId="4" fillId="5" fontId="4" numFmtId="0" pivotButton="0" quotePrefix="0" xfId="0">
      <alignment horizontal="left" vertical="center"/>
    </xf>
    <xf applyAlignment="1" borderId="0" fillId="7" fontId="4" numFmtId="0" pivotButton="0" quotePrefix="0" xfId="0">
      <alignment horizontal="center" vertical="center"/>
    </xf>
    <xf applyAlignment="1" borderId="5" fillId="0" fontId="4" numFmtId="0" pivotButton="0" quotePrefix="0" xfId="0">
      <alignment horizontal="center" vertical="center"/>
    </xf>
    <xf applyAlignment="1" borderId="5" fillId="0" fontId="4" numFmtId="0" pivotButton="0" quotePrefix="0" xfId="0">
      <alignment horizontal="center" vertical="center" wrapText="1"/>
    </xf>
    <xf applyAlignment="1" borderId="20" fillId="0" fontId="4" numFmtId="0" pivotButton="0" quotePrefix="0" xfId="0">
      <alignment horizontal="center" vertical="center" wrapText="1"/>
    </xf>
    <xf applyAlignment="1" borderId="14" fillId="0" fontId="4" numFmtId="0" pivotButton="0" quotePrefix="0" xfId="0">
      <alignment horizontal="center" vertical="center"/>
    </xf>
    <xf applyAlignment="1" borderId="9" fillId="8" fontId="4" numFmtId="2" pivotButton="0" quotePrefix="0" xfId="0">
      <alignment horizontal="center" vertical="center"/>
    </xf>
    <xf applyAlignment="1" borderId="16" fillId="0" fontId="4" numFmtId="0" pivotButton="0" quotePrefix="0" xfId="0">
      <alignment horizontal="center" vertical="center"/>
    </xf>
    <xf applyAlignment="1" borderId="0" fillId="0" fontId="0" numFmtId="2" pivotButton="0" quotePrefix="0" xfId="0">
      <alignment horizontal="center" vertical="center"/>
    </xf>
    <xf applyAlignment="1" borderId="1" fillId="0" fontId="0" numFmtId="1" pivotButton="0" quotePrefix="0" xfId="0">
      <alignment horizontal="center" vertical="center"/>
    </xf>
    <xf applyAlignment="1" borderId="7" fillId="0" fontId="4" numFmtId="0" pivotButton="0" quotePrefix="0" xfId="0">
      <alignment horizontal="center" vertical="center"/>
    </xf>
    <xf applyAlignment="1" borderId="7" fillId="0" fontId="4" numFmtId="2" pivotButton="0" quotePrefix="0" xfId="0">
      <alignment horizontal="center" vertical="center"/>
    </xf>
    <xf applyAlignment="1" borderId="6" fillId="0" fontId="4" numFmtId="0" pivotButton="0" quotePrefix="0" xfId="0">
      <alignment horizontal="center" vertical="center"/>
    </xf>
    <xf applyAlignment="1" borderId="6" fillId="0" fontId="4" numFmtId="2" pivotButton="0" quotePrefix="0" xfId="0">
      <alignment horizontal="center" vertical="center"/>
    </xf>
    <xf applyAlignment="1" borderId="0" fillId="0" fontId="0" numFmtId="0" pivotButton="0" quotePrefix="0" xfId="0">
      <alignment horizontal="center" vertical="center"/>
    </xf>
    <xf applyAlignment="1" borderId="18" fillId="0" fontId="4" numFmtId="0" pivotButton="0" quotePrefix="0" xfId="0">
      <alignment horizontal="center" vertical="center"/>
    </xf>
    <xf applyAlignment="1" borderId="26" fillId="0" fontId="4" numFmtId="0" pivotButton="0" quotePrefix="0" xfId="0">
      <alignment horizontal="center" vertical="center"/>
    </xf>
    <xf applyAlignment="1" borderId="0" fillId="0" fontId="4" numFmtId="2" pivotButton="0" quotePrefix="0" xfId="0">
      <alignment horizontal="left" vertical="center"/>
    </xf>
    <xf applyAlignment="1" borderId="2" fillId="7" fontId="3" numFmtId="0" pivotButton="0" quotePrefix="0" xfId="0">
      <alignment horizontal="center" vertical="center"/>
    </xf>
    <xf applyAlignment="1" borderId="21" fillId="12" fontId="4" numFmtId="0" pivotButton="0" quotePrefix="0" xfId="0">
      <alignment horizontal="center" vertical="center"/>
    </xf>
    <xf applyAlignment="1" borderId="24" fillId="12" fontId="4" numFmtId="0" pivotButton="0" quotePrefix="0" xfId="0">
      <alignment horizontal="center" vertical="center"/>
    </xf>
    <xf applyAlignment="1" borderId="29" fillId="12" fontId="4" numFmtId="0" pivotButton="0" quotePrefix="0" xfId="0">
      <alignment horizontal="center" vertical="center"/>
    </xf>
    <xf applyAlignment="1" borderId="0" fillId="0" fontId="0" numFmtId="0" pivotButton="0" quotePrefix="0" xfId="0">
      <alignment vertical="center"/>
    </xf>
    <xf applyAlignment="1" borderId="30" fillId="0" fontId="0" numFmtId="0" pivotButton="0" quotePrefix="0" xfId="0">
      <alignment vertical="center"/>
    </xf>
    <xf applyAlignment="1" borderId="30" fillId="0" fontId="4" numFmtId="2" pivotButton="0" quotePrefix="0" xfId="0">
      <alignment horizontal="center" vertical="center"/>
    </xf>
    <xf applyAlignment="1" borderId="30" fillId="0" fontId="4" numFmtId="14" pivotButton="0" quotePrefix="0" xfId="0">
      <alignment horizontal="center" vertical="center"/>
    </xf>
    <xf applyAlignment="1" borderId="31" fillId="12" fontId="4" numFmtId="0" pivotButton="0" quotePrefix="0" xfId="0">
      <alignment horizontal="center" vertical="center"/>
    </xf>
    <xf applyAlignment="1" borderId="32" fillId="14" fontId="4" numFmtId="2" pivotButton="0" quotePrefix="0" xfId="0">
      <alignment horizontal="center" vertical="center"/>
    </xf>
    <xf applyAlignment="1" borderId="33" fillId="14" fontId="4" numFmtId="2" pivotButton="0" quotePrefix="0" xfId="0">
      <alignment horizontal="center" vertical="center"/>
    </xf>
    <xf applyAlignment="1" borderId="34" fillId="14" fontId="4" numFmtId="2" pivotButton="0" quotePrefix="0" xfId="0">
      <alignment horizontal="center" vertical="center"/>
    </xf>
    <xf applyAlignment="1" borderId="37" fillId="0" fontId="1" numFmtId="0" pivotButton="0" quotePrefix="0" xfId="0">
      <alignment horizontal="center" vertical="center"/>
    </xf>
    <xf applyAlignment="1" borderId="37" fillId="0" fontId="1" numFmtId="14" pivotButton="0" quotePrefix="0" xfId="0">
      <alignment horizontal="center" vertical="center"/>
    </xf>
    <xf applyAlignment="1" borderId="36" fillId="0" fontId="1" numFmtId="2" pivotButton="0" quotePrefix="0" xfId="0">
      <alignment horizontal="center" vertical="center"/>
    </xf>
    <xf applyAlignment="1" borderId="23" fillId="0" fontId="1" numFmtId="0" pivotButton="0" quotePrefix="0" xfId="0">
      <alignment horizontal="center" vertical="center"/>
    </xf>
    <xf applyAlignment="1" borderId="23" fillId="0" fontId="1" numFmtId="14" pivotButton="0" quotePrefix="0" xfId="0">
      <alignment horizontal="center" vertical="center"/>
    </xf>
    <xf applyAlignment="1" borderId="23" fillId="0" fontId="1" numFmtId="2" pivotButton="0" quotePrefix="0" xfId="0">
      <alignment horizontal="center" vertical="center"/>
    </xf>
    <xf applyAlignment="1" borderId="12" fillId="13" fontId="2" numFmtId="2" pivotButton="0" quotePrefix="0" xfId="0">
      <alignment horizontal="center" wrapText="1"/>
    </xf>
    <xf applyAlignment="1" borderId="12" fillId="16" fontId="5" numFmtId="2" pivotButton="0" quotePrefix="0" xfId="0">
      <alignment horizontal="center"/>
    </xf>
    <xf applyAlignment="1" borderId="12" fillId="15" fontId="10" numFmtId="2" pivotButton="0" quotePrefix="0" xfId="0">
      <alignment horizontal="center" vertical="center" wrapText="1"/>
    </xf>
    <xf applyAlignment="1" borderId="2" fillId="17" fontId="4" numFmtId="0" pivotButton="0" quotePrefix="0" xfId="0">
      <alignment horizontal="center" vertical="center"/>
    </xf>
    <xf applyAlignment="1" borderId="38" fillId="0" fontId="4" numFmtId="0" pivotButton="0" quotePrefix="0" xfId="0">
      <alignment horizontal="center" vertical="center"/>
    </xf>
    <xf applyAlignment="1" borderId="39" fillId="0" fontId="4" numFmtId="0" pivotButton="0" quotePrefix="0" xfId="0">
      <alignment horizontal="center" vertical="center"/>
    </xf>
    <xf applyAlignment="1" borderId="10" fillId="0" fontId="4" numFmtId="0" pivotButton="0" quotePrefix="0" xfId="0">
      <alignment horizontal="center" vertical="center"/>
    </xf>
    <xf applyAlignment="1" borderId="40" fillId="0" fontId="4" numFmtId="0" pivotButton="0" quotePrefix="0" xfId="0">
      <alignment horizontal="center" vertical="center"/>
    </xf>
    <xf applyAlignment="1" borderId="8" fillId="0" fontId="4" numFmtId="0" pivotButton="0" quotePrefix="0" xfId="0">
      <alignment horizontal="center" vertical="center" wrapText="1"/>
    </xf>
    <xf applyAlignment="1" borderId="41" fillId="0" fontId="4" numFmtId="0" pivotButton="0" quotePrefix="0" xfId="0">
      <alignment horizontal="center" vertical="center" wrapText="1"/>
    </xf>
    <xf applyAlignment="1" borderId="43" fillId="0" fontId="4" numFmtId="0" pivotButton="0" quotePrefix="0" xfId="0">
      <alignment horizontal="center" vertical="center"/>
    </xf>
    <xf applyAlignment="1" borderId="44" fillId="12" fontId="4" numFmtId="0" pivotButton="0" quotePrefix="0" xfId="0">
      <alignment horizontal="center" vertical="center"/>
    </xf>
    <xf applyAlignment="1" borderId="45" fillId="12" fontId="4" numFmtId="0" pivotButton="0" quotePrefix="0" xfId="0">
      <alignment horizontal="center" vertical="center"/>
    </xf>
    <xf applyAlignment="1" borderId="46" fillId="12" fontId="4" numFmtId="0" pivotButton="0" quotePrefix="0" xfId="0">
      <alignment horizontal="center" vertical="center"/>
    </xf>
    <xf applyAlignment="1" borderId="47" fillId="12" fontId="4" numFmtId="0" pivotButton="0" quotePrefix="0" xfId="0">
      <alignment horizontal="center" vertical="center"/>
    </xf>
    <xf applyAlignment="1" borderId="48" fillId="12" fontId="4" numFmtId="0" pivotButton="0" quotePrefix="0" xfId="0">
      <alignment horizontal="center" vertical="center"/>
    </xf>
    <xf applyAlignment="1" borderId="49" fillId="12" fontId="5" numFmtId="0" pivotButton="0" quotePrefix="0" xfId="0">
      <alignment horizontal="center" vertical="center" wrapText="1"/>
    </xf>
    <xf applyAlignment="1" borderId="50" fillId="12" fontId="5" numFmtId="0" pivotButton="0" quotePrefix="0" xfId="0">
      <alignment horizontal="center" vertical="center" wrapText="1"/>
    </xf>
    <xf applyAlignment="1" borderId="52" fillId="0" fontId="4" numFmtId="0" pivotButton="0" quotePrefix="0" xfId="0">
      <alignment horizontal="center" vertical="center" wrapText="1"/>
    </xf>
    <xf applyAlignment="1" borderId="53" fillId="0" fontId="4" numFmtId="0" pivotButton="0" quotePrefix="0" xfId="0">
      <alignment horizontal="center" vertical="center" wrapText="1"/>
    </xf>
    <xf applyAlignment="1" borderId="55" fillId="12" fontId="4" numFmtId="0" pivotButton="0" quotePrefix="0" xfId="0">
      <alignment horizontal="center" vertical="center" wrapText="1"/>
    </xf>
    <xf applyAlignment="1" borderId="56" fillId="12" fontId="4" numFmtId="0" pivotButton="0" quotePrefix="0" xfId="0">
      <alignment horizontal="center" vertical="center"/>
    </xf>
    <xf applyAlignment="1" borderId="51" fillId="12" fontId="4" numFmtId="0" pivotButton="0" quotePrefix="0" xfId="0">
      <alignment horizontal="center" vertical="center"/>
    </xf>
    <xf applyAlignment="1" borderId="3" fillId="15" fontId="2" numFmtId="2" pivotButton="0" quotePrefix="0" xfId="0">
      <alignment horizontal="center" wrapText="1"/>
    </xf>
    <xf applyAlignment="1" borderId="3" fillId="16" fontId="5" numFmtId="2" pivotButton="0" quotePrefix="0" xfId="0">
      <alignment horizontal="center"/>
    </xf>
    <xf applyAlignment="1" borderId="57" fillId="7" fontId="6" numFmtId="2" pivotButton="0" quotePrefix="0" xfId="0">
      <alignment horizontal="center" wrapText="1"/>
    </xf>
    <xf applyAlignment="1" borderId="58" fillId="7" fontId="6" numFmtId="2" pivotButton="0" quotePrefix="0" xfId="0">
      <alignment horizontal="center" wrapText="1"/>
    </xf>
    <xf applyAlignment="1" borderId="59" fillId="7" fontId="5" numFmtId="2" pivotButton="0" quotePrefix="0" xfId="0">
      <alignment horizontal="center"/>
    </xf>
    <xf applyAlignment="1" borderId="37" fillId="0" fontId="1" numFmtId="2" pivotButton="0" quotePrefix="0" xfId="0">
      <alignment horizontal="center" vertical="center"/>
    </xf>
    <xf applyAlignment="1" borderId="60" fillId="7" fontId="7" numFmtId="2" pivotButton="0" quotePrefix="0" xfId="0">
      <alignment horizontal="center" wrapText="1"/>
    </xf>
    <xf applyAlignment="1" borderId="61" fillId="7" fontId="7" numFmtId="2" pivotButton="0" quotePrefix="0" xfId="0">
      <alignment horizontal="center" wrapText="1"/>
    </xf>
    <xf applyAlignment="1" borderId="62" fillId="7" fontId="5" numFmtId="2" pivotButton="0" quotePrefix="0" xfId="0">
      <alignment horizontal="center"/>
    </xf>
    <xf applyAlignment="1" borderId="9" fillId="0" fontId="4" numFmtId="2" pivotButton="0" quotePrefix="0" xfId="0">
      <alignment horizontal="center" vertical="center"/>
    </xf>
    <xf applyAlignment="1" borderId="3" fillId="6" fontId="4" numFmtId="164" pivotButton="0" quotePrefix="0" xfId="0">
      <alignment horizontal="right" vertical="center"/>
    </xf>
    <xf applyAlignment="1" borderId="3" fillId="3" fontId="4" numFmtId="164" pivotButton="0" quotePrefix="0" xfId="0">
      <alignment horizontal="right" vertical="center"/>
    </xf>
    <xf applyAlignment="1" borderId="4" fillId="3" fontId="5" numFmtId="165" pivotButton="0" quotePrefix="0" xfId="0">
      <alignment horizontal="left" vertical="center"/>
    </xf>
    <xf applyAlignment="1" borderId="3" fillId="7" fontId="8" numFmtId="165" pivotButton="0" quotePrefix="0" xfId="0">
      <alignment horizontal="center" vertical="center"/>
    </xf>
    <xf applyAlignment="1" borderId="4" fillId="7" fontId="8" numFmtId="165" pivotButton="0" quotePrefix="0" xfId="0">
      <alignment horizontal="center" vertical="center"/>
    </xf>
    <xf applyAlignment="1" borderId="4" fillId="2" fontId="4" numFmtId="166" pivotButton="0" quotePrefix="0" xfId="0">
      <alignment horizontal="left" vertical="center"/>
    </xf>
    <xf applyAlignment="1" borderId="4" fillId="4" fontId="4" numFmtId="165" pivotButton="0" quotePrefix="0" xfId="0">
      <alignment horizontal="left" vertical="center"/>
    </xf>
    <xf applyAlignment="1" borderId="3" fillId="5" fontId="4" numFmtId="164" pivotButton="0" quotePrefix="0" xfId="0">
      <alignment horizontal="right" vertical="center"/>
    </xf>
    <xf applyAlignment="1" borderId="13" fillId="7" fontId="4" numFmtId="166" pivotButton="0" quotePrefix="0" xfId="0">
      <alignment horizontal="center" vertical="center"/>
    </xf>
    <xf applyAlignment="1" borderId="5" fillId="0" fontId="4" numFmtId="164" pivotButton="0" quotePrefix="0" xfId="0">
      <alignment horizontal="center" vertical="center" wrapText="1"/>
    </xf>
    <xf applyAlignment="1" borderId="8" fillId="0" fontId="4" numFmtId="164" pivotButton="0" quotePrefix="0" xfId="0">
      <alignment horizontal="center" vertical="center" wrapText="1"/>
    </xf>
    <xf applyAlignment="1" borderId="19" fillId="0" fontId="4" numFmtId="164" pivotButton="0" quotePrefix="0" xfId="0">
      <alignment horizontal="center" vertical="center" wrapText="1"/>
    </xf>
    <xf applyAlignment="1" borderId="11" fillId="0" fontId="4" numFmtId="164" pivotButton="0" quotePrefix="0" xfId="0">
      <alignment horizontal="center" vertical="center" wrapText="1"/>
    </xf>
    <xf applyAlignment="1" borderId="28" fillId="0" fontId="4" numFmtId="166" pivotButton="0" quotePrefix="0" xfId="0">
      <alignment horizontal="center" vertical="center" wrapText="1"/>
    </xf>
    <xf applyAlignment="1" borderId="22" fillId="0" fontId="4" numFmtId="167" pivotButton="0" quotePrefix="0" xfId="0">
      <alignment horizontal="center" vertical="center"/>
    </xf>
    <xf applyAlignment="1" borderId="23" fillId="0" fontId="4" numFmtId="164" pivotButton="0" quotePrefix="0" xfId="0">
      <alignment horizontal="center" vertical="center"/>
    </xf>
    <xf applyAlignment="1" borderId="42" fillId="0" fontId="4" numFmtId="164" pivotButton="0" quotePrefix="0" xfId="0">
      <alignment horizontal="center" vertical="center"/>
    </xf>
    <xf applyAlignment="1" borderId="17" fillId="11" fontId="4" numFmtId="164" pivotButton="0" quotePrefix="0" xfId="0">
      <alignment horizontal="center" vertical="center"/>
    </xf>
    <xf applyAlignment="1" borderId="6" fillId="0" fontId="4" numFmtId="164" pivotButton="0" quotePrefix="0" xfId="0">
      <alignment horizontal="center" vertical="center"/>
    </xf>
    <xf applyAlignment="1" borderId="7" fillId="10" fontId="4" numFmtId="164" pivotButton="0" quotePrefix="0" xfId="0">
      <alignment horizontal="center" vertical="center"/>
    </xf>
    <xf applyAlignment="1" borderId="6" fillId="11" fontId="4" numFmtId="164" pivotButton="0" quotePrefix="0" xfId="0">
      <alignment horizontal="center" vertical="center"/>
    </xf>
    <xf applyAlignment="1" borderId="54" fillId="10" fontId="4" numFmtId="164" pivotButton="0" quotePrefix="0" xfId="0">
      <alignment horizontal="center" vertical="center"/>
    </xf>
    <xf applyAlignment="1" borderId="6" fillId="10" fontId="4" numFmtId="164" pivotButton="0" quotePrefix="0" xfId="0">
      <alignment horizontal="center" vertical="center"/>
    </xf>
    <xf applyAlignment="1" borderId="25" fillId="0" fontId="4" numFmtId="167" pivotButton="0" quotePrefix="0" xfId="0">
      <alignment horizontal="center" vertical="center"/>
    </xf>
    <xf applyAlignment="1" borderId="26" fillId="0" fontId="5" numFmtId="167" pivotButton="0" quotePrefix="0" xfId="0">
      <alignment horizontal="center" vertical="center"/>
    </xf>
    <xf applyAlignment="1" borderId="26" fillId="0" fontId="5" numFmtId="164" pivotButton="0" quotePrefix="0" xfId="0">
      <alignment horizontal="center" vertical="center"/>
    </xf>
    <xf applyAlignment="1" borderId="43" fillId="0" fontId="5" numFmtId="164" pivotButton="0" quotePrefix="0" xfId="0">
      <alignment horizontal="center" vertical="center"/>
    </xf>
    <xf applyAlignment="1" borderId="52" fillId="12" fontId="5" numFmtId="167" pivotButton="0" quotePrefix="0" xfId="0">
      <alignment horizontal="center" vertical="center"/>
    </xf>
    <xf applyAlignment="1" borderId="20" fillId="12" fontId="5" numFmtId="164" pivotButton="0" quotePrefix="0" xfId="0">
      <alignment horizontal="center" vertical="center"/>
    </xf>
    <xf applyAlignment="1" borderId="53" fillId="12" fontId="5" numFmtId="164" pivotButton="0" quotePrefix="0" xfId="0">
      <alignment horizontal="center" vertical="center"/>
    </xf>
    <xf applyAlignment="1" borderId="37" fillId="0" fontId="1" numFmtId="164" pivotButton="0" quotePrefix="0" xfId="0">
      <alignment horizontal="center" vertical="center"/>
    </xf>
    <xf applyAlignment="1" borderId="23" fillId="0" fontId="1" numFmtId="166" pivotButton="0" quotePrefix="0" xfId="0">
      <alignment horizontal="center" vertical="center"/>
    </xf>
    <xf applyAlignment="1" borderId="23" fillId="0" fontId="1" numFmtId="164" pivotButton="0" quotePrefix="0" xfId="0">
      <alignment horizontal="center" vertical="center"/>
    </xf>
    <xf applyAlignment="1" borderId="0" fillId="0" fontId="0" numFmtId="165" pivotButton="0" quotePrefix="0" xfId="0">
      <alignment horizontal="center" vertical="center"/>
    </xf>
    <xf applyAlignment="1" borderId="0" fillId="0" fontId="4" numFmtId="2" pivotButton="0" quotePrefix="0" xfId="0">
      <alignment horizontal="center" vertical="center"/>
    </xf>
    <xf applyAlignment="1" borderId="0" fillId="0" fontId="4" numFmtId="0" pivotButton="0" quotePrefix="0" xfId="0">
      <alignment horizontal="center" vertical="center"/>
    </xf>
    <xf applyAlignment="1" borderId="0" fillId="0" fontId="4" numFmtId="164" pivotButton="0" quotePrefix="0" xfId="0">
      <alignment horizontal="center" vertical="center"/>
    </xf>
    <xf applyAlignment="1" borderId="0" fillId="0" fontId="4" numFmtId="14" pivotButton="0" quotePrefix="0" xfId="0">
      <alignment horizontal="center" vertical="center"/>
    </xf>
    <xf applyAlignment="1" borderId="0" fillId="0" fontId="4" numFmtId="166" pivotButton="0" quotePrefix="0" xfId="0">
      <alignment horizontal="center" vertical="center"/>
    </xf>
    <xf applyAlignment="1" borderId="15" fillId="0" fontId="4" numFmtId="0" pivotButton="0" quotePrefix="0" xfId="0">
      <alignment horizontal="center" vertical="center"/>
    </xf>
    <xf applyAlignment="1" borderId="0" fillId="0" fontId="1" numFmtId="14" pivotButton="0" quotePrefix="0" xfId="0">
      <alignment horizontal="center" vertical="center"/>
    </xf>
    <xf applyAlignment="1" borderId="0" fillId="0" fontId="1" numFmtId="0" pivotButton="0" quotePrefix="0" xfId="0">
      <alignment horizontal="center" vertical="center"/>
    </xf>
    <xf applyAlignment="1" borderId="0" fillId="0" fontId="1" numFmtId="2" pivotButton="0" quotePrefix="0" xfId="0">
      <alignment horizontal="center" vertical="center"/>
    </xf>
    <xf applyAlignment="1" borderId="0" fillId="0" fontId="1" numFmtId="164" pivotButton="0" quotePrefix="0" xfId="0">
      <alignment horizontal="center" vertical="center"/>
    </xf>
    <xf applyAlignment="1" borderId="0" fillId="0" fontId="1" numFmtId="166" pivotButton="0" quotePrefix="0" xfId="0">
      <alignment horizontal="center" vertical="center"/>
    </xf>
    <xf applyAlignment="1" borderId="15" fillId="0" fontId="4" numFmtId="164" pivotButton="0" quotePrefix="0" xfId="0">
      <alignment horizontal="center" vertical="center" wrapText="1"/>
    </xf>
    <xf applyAlignment="1" borderId="0" fillId="0" fontId="4" numFmtId="164" pivotButton="0" quotePrefix="0" xfId="0">
      <alignment horizontal="center" vertical="center"/>
    </xf>
    <xf applyAlignment="1" borderId="3" fillId="7" fontId="9" numFmtId="0" pivotButton="0" quotePrefix="0" xfId="0">
      <alignment horizontal="center" vertical="center"/>
    </xf>
    <xf applyAlignment="1" borderId="35" fillId="0" fontId="4" numFmtId="0" pivotButton="0" quotePrefix="0" xfId="0">
      <alignment horizontal="center" vertical="center"/>
    </xf>
    <xf applyAlignment="1" borderId="0" fillId="0" fontId="4" numFmtId="0" pivotButton="0" quotePrefix="0" xfId="0">
      <alignment horizontal="center" vertical="center"/>
    </xf>
    <xf applyAlignment="1" borderId="27" fillId="0" fontId="4" numFmtId="164" pivotButton="0" quotePrefix="0" xfId="0">
      <alignment horizontal="center" vertical="center" wrapText="1"/>
    </xf>
    <xf applyAlignment="1" borderId="15" fillId="0" fontId="4" numFmtId="14" pivotButton="0" quotePrefix="0" xfId="0">
      <alignment horizontal="center" vertical="center" wrapText="1"/>
    </xf>
    <xf applyAlignment="1" borderId="15" fillId="0" fontId="4" numFmtId="0" pivotButton="0" quotePrefix="0" xfId="0">
      <alignment horizontal="center" vertical="center"/>
    </xf>
    <xf applyAlignment="1" borderId="16" fillId="0" fontId="4" numFmtId="0" pivotButton="0" quotePrefix="0" xfId="0">
      <alignment horizontal="center" vertical="center" wrapText="1"/>
    </xf>
    <xf applyAlignment="1" borderId="9" fillId="0" fontId="4" numFmtId="2" pivotButton="0" quotePrefix="0" xfId="0">
      <alignment horizontal="center" vertical="center" wrapText="1"/>
    </xf>
    <xf applyAlignment="1" borderId="9" fillId="0" fontId="4" numFmtId="164" pivotButton="0" quotePrefix="0" xfId="0">
      <alignment horizontal="center" vertical="center" wrapText="1"/>
    </xf>
    <xf applyAlignment="1" borderId="35" fillId="0" fontId="4" numFmtId="0" pivotButton="0" quotePrefix="0" xfId="0">
      <alignment horizontal="center" vertical="center" wrapText="1"/>
    </xf>
    <xf applyAlignment="1" borderId="0" fillId="0" fontId="4" numFmtId="2" pivotButton="0" quotePrefix="0" xfId="0">
      <alignment horizontal="center" vertical="center"/>
    </xf>
    <xf applyAlignment="1" borderId="16" fillId="0" fontId="4" numFmtId="164" pivotButton="0" quotePrefix="0" xfId="0">
      <alignment horizontal="center" vertical="center" wrapText="1"/>
    </xf>
    <xf applyAlignment="1" borderId="49" fillId="0" fontId="4" numFmtId="0" pivotButton="0" quotePrefix="0" xfId="0">
      <alignment horizontal="center" vertical="center"/>
    </xf>
    <xf applyAlignment="1" borderId="27" fillId="0" fontId="4" numFmtId="14" pivotButton="0" quotePrefix="0" xfId="0">
      <alignment horizontal="center" vertical="center" wrapText="1"/>
    </xf>
    <xf applyAlignment="1" borderId="0" fillId="0" fontId="4" numFmtId="14" pivotButton="0" quotePrefix="0" xfId="0">
      <alignment horizontal="center" vertical="center"/>
    </xf>
    <xf applyAlignment="1" borderId="9" fillId="0" fontId="4" numFmtId="0" pivotButton="0" quotePrefix="0" xfId="0">
      <alignment horizontal="center" vertical="center" wrapText="1"/>
    </xf>
    <xf applyAlignment="1" borderId="15" fillId="0" fontId="4" numFmtId="166" pivotButton="0" quotePrefix="0" xfId="0">
      <alignment horizontal="center" vertical="center"/>
    </xf>
    <xf applyAlignment="1" borderId="0" fillId="0" fontId="4" numFmtId="166" pivotButton="0" quotePrefix="0" xfId="0">
      <alignment horizontal="center" vertical="center"/>
    </xf>
    <xf applyAlignment="1" borderId="13" fillId="0" fontId="5" numFmtId="164" pivotButton="0" quotePrefix="0" xfId="0">
      <alignment horizontal="center" wrapText="1"/>
    </xf>
    <xf applyAlignment="1" borderId="0" fillId="0" fontId="1" numFmtId="164" pivotButton="0" quotePrefix="0" xfId="0">
      <alignment horizontal="center" vertical="center"/>
    </xf>
    <xf applyAlignment="1" borderId="12" fillId="0" fontId="5" numFmtId="0" pivotButton="0" quotePrefix="0" xfId="0">
      <alignment horizontal="center" wrapText="1"/>
    </xf>
    <xf applyAlignment="1" borderId="0" fillId="0" fontId="1" numFmtId="0" pivotButton="0" quotePrefix="0" xfId="0">
      <alignment horizontal="center" vertical="center"/>
    </xf>
    <xf applyAlignment="1" borderId="13" fillId="0" fontId="5" numFmtId="0" pivotButton="0" quotePrefix="0" xfId="0">
      <alignment horizontal="center" wrapText="1"/>
    </xf>
    <xf applyAlignment="1" borderId="13" fillId="0" fontId="5" numFmtId="2" pivotButton="0" quotePrefix="0" xfId="0">
      <alignment horizontal="center" wrapText="1"/>
    </xf>
    <xf applyAlignment="1" borderId="0" fillId="0" fontId="1" numFmtId="2" pivotButton="0" quotePrefix="0" xfId="0">
      <alignment horizontal="center" vertical="center"/>
    </xf>
    <xf applyAlignment="1" borderId="13" fillId="0" fontId="5" numFmtId="0" pivotButton="0" quotePrefix="0" xfId="0">
      <alignment horizontal="center"/>
    </xf>
    <xf applyAlignment="1" borderId="13" fillId="0" fontId="5" numFmtId="14" pivotButton="0" quotePrefix="0" xfId="0">
      <alignment horizontal="center" wrapText="1"/>
    </xf>
    <xf applyAlignment="1" borderId="0" fillId="0" fontId="1" numFmtId="14" pivotButton="0" quotePrefix="0" xfId="0">
      <alignment horizontal="center" vertical="center"/>
    </xf>
    <xf applyAlignment="1" borderId="13" fillId="0" fontId="5" numFmtId="4" pivotButton="0" quotePrefix="0" xfId="0">
      <alignment horizontal="center" wrapText="1"/>
    </xf>
    <xf applyAlignment="1" borderId="13" fillId="0" fontId="5" numFmtId="166" pivotButton="0" quotePrefix="0" xfId="0">
      <alignment horizontal="center" wrapText="1"/>
    </xf>
    <xf applyAlignment="1" borderId="0" fillId="0" fontId="1" numFmtId="166" pivotButton="0" quotePrefix="0" xfId="0">
      <alignment horizontal="center" vertical="center"/>
    </xf>
    <xf applyAlignment="1" borderId="0" fillId="0" fontId="4" numFmtId="166" pivotButton="0" quotePrefix="0" xfId="0">
      <alignment horizontal="center" vertical="center"/>
    </xf>
    <xf applyAlignment="1" borderId="4" fillId="3" fontId="5" numFmtId="165" pivotButton="0" quotePrefix="0" xfId="0">
      <alignment horizontal="left" vertical="center"/>
    </xf>
    <xf applyAlignment="1" borderId="3" fillId="7" fontId="8" numFmtId="165" pivotButton="0" quotePrefix="0" xfId="0">
      <alignment horizontal="center" vertical="center"/>
    </xf>
    <xf applyAlignment="1" borderId="4" fillId="7" fontId="8" numFmtId="165" pivotButton="0" quotePrefix="0" xfId="0">
      <alignment horizontal="center" vertical="center"/>
    </xf>
    <xf applyAlignment="1" borderId="4" fillId="2" fontId="4" numFmtId="166" pivotButton="0" quotePrefix="0" xfId="0">
      <alignment horizontal="left" vertical="center"/>
    </xf>
    <xf applyAlignment="1" borderId="4" fillId="4" fontId="4" numFmtId="165" pivotButton="0" quotePrefix="0" xfId="0">
      <alignment horizontal="left" vertical="center"/>
    </xf>
    <xf applyAlignment="1" borderId="13" fillId="7" fontId="4" numFmtId="166" pivotButton="0" quotePrefix="0" xfId="0">
      <alignment horizontal="center" vertical="center"/>
    </xf>
    <xf applyAlignment="1" borderId="28" fillId="0" fontId="4" numFmtId="166" pivotButton="0" quotePrefix="0" xfId="0">
      <alignment horizontal="center" vertical="center" wrapText="1"/>
    </xf>
    <xf applyAlignment="1" borderId="15" fillId="0" fontId="4" numFmtId="166" pivotButton="0" quotePrefix="0" xfId="0">
      <alignment horizontal="center" vertical="center"/>
    </xf>
    <xf applyAlignment="1" borderId="0" fillId="0" fontId="1" numFmtId="166" pivotButton="0" quotePrefix="0" xfId="0">
      <alignment horizontal="center" vertical="center"/>
    </xf>
    <xf applyAlignment="1" borderId="13" fillId="0" fontId="5" numFmtId="166" pivotButton="0" quotePrefix="0" xfId="0">
      <alignment horizontal="center" wrapText="1"/>
    </xf>
    <xf applyAlignment="1" borderId="23" fillId="0" fontId="1" numFmtId="166" pivotButton="0" quotePrefix="0" xfId="0">
      <alignment horizontal="center" vertical="center"/>
    </xf>
    <xf applyAlignment="1" borderId="0" fillId="0" fontId="0" numFmtId="165" pivotButton="0" quotePrefix="0" xfId="0">
      <alignment horizontal="center" vertical="center"/>
    </xf>
  </cellXfs>
  <cellStyles count="1">
    <cellStyle builtinId="0" name="Normal" xfId="0"/>
  </cellStyles>
  <tableStyles count="0" defaultPivotStyle="PivotStyleLight16" defaultTableStyle="TableStyleMedium2"/>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sharedStrings.xml" Type="http://schemas.openxmlformats.org/officeDocument/2006/relationships/sharedStrings" /><Relationship Id="rId5" Target="styles.xml" Type="http://schemas.openxmlformats.org/officeDocument/2006/relationships/styles" /><Relationship Id="rId6" Target="theme/theme1.xml" Type="http://schemas.openxmlformats.org/officeDocument/2006/relationships/theme" /><Relationship Id="rId7" Target="vbaProject.bin" Type="http://schemas.microsoft.com/office/2006/relationships/vbaProject" /></Relationships>
</file>

<file path=xl/charts/chart1.xml><?xml version="1.0" encoding="utf-8"?>
<chartSpace xmlns:a="http://schemas.openxmlformats.org/drawingml/2006/main" xmlns="http://schemas.openxmlformats.org/drawingml/2006/chart">
  <chart>
    <plotArea>
      <layout>
        <manualLayout>
          <layoutTarget val="inner"/>
          <xMode val="edge"/>
          <yMode val="edge"/>
          <x val="0.1720453648400911"/>
          <y val="0.03558542999528245"/>
          <w val="0.8061214122656616"/>
          <h val="0.9288291400094351"/>
        </manualLayout>
      </layout>
      <stockChart>
        <ser>
          <idx val="0"/>
          <order val="0"/>
          <tx>
            <strRef>
              <f>'New Forex'!$C$2</f>
              <strCache>
                <ptCount val="1"/>
                <pt idx="0">
                  <v>Open</v>
                </pt>
              </strCache>
            </strRef>
          </tx>
          <spPr>
            <a:ln cap="rnd" w="19050">
              <a:noFill/>
              <a:prstDash val="solid"/>
              <a:round/>
            </a:ln>
          </spPr>
          <marker>
            <symbol val="none"/>
            <spPr>
              <a:ln>
                <a:prstDash val="solid"/>
              </a:ln>
            </spPr>
          </marker>
          <val>
            <numRef>
              <f>'New Forex'!$C$3:$C$24</f>
              <numCache>
                <formatCode>0.00000</formatCode>
                <ptCount val="22"/>
                <pt idx="21">
                  <v>1.13732</v>
                </pt>
              </numCache>
            </numRef>
          </val>
          <smooth val="0"/>
        </ser>
        <ser>
          <idx val="1"/>
          <order val="1"/>
          <tx>
            <strRef>
              <f>'New Forex'!$D$2</f>
              <strCache>
                <ptCount val="1"/>
                <pt idx="0">
                  <v>high</v>
                </pt>
              </strCache>
            </strRef>
          </tx>
          <spPr>
            <a:ln cap="rnd" w="19050">
              <a:noFill/>
              <a:prstDash val="solid"/>
              <a:round/>
            </a:ln>
          </spPr>
          <marker>
            <symbol val="none"/>
            <spPr>
              <a:ln>
                <a:prstDash val="solid"/>
              </a:ln>
            </spPr>
          </marker>
          <val>
            <numRef>
              <f>'New Forex'!$D$3:$D$24</f>
              <numCache>
                <formatCode>0.00000</formatCode>
                <ptCount val="22"/>
                <pt idx="21">
                  <v>1.13878</v>
                </pt>
              </numCache>
            </numRef>
          </val>
          <smooth val="0"/>
        </ser>
        <ser>
          <idx val="2"/>
          <order val="2"/>
          <tx>
            <strRef>
              <f>'New Forex'!$E$2</f>
              <strCache>
                <ptCount val="1"/>
                <pt idx="0">
                  <v>low</v>
                </pt>
              </strCache>
            </strRef>
          </tx>
          <spPr>
            <a:ln cap="rnd" w="19050">
              <a:noFill/>
              <a:prstDash val="solid"/>
              <a:round/>
            </a:ln>
          </spPr>
          <marker>
            <symbol val="none"/>
            <spPr>
              <a:ln>
                <a:prstDash val="solid"/>
              </a:ln>
            </spPr>
          </marker>
          <val>
            <numRef>
              <f>'New Forex'!$E$3:$E$24</f>
              <numCache>
                <formatCode>0.00000</formatCode>
                <ptCount val="22"/>
                <pt idx="21">
                  <v>1.13458</v>
                </pt>
              </numCache>
            </numRef>
          </val>
          <smooth val="0"/>
        </ser>
        <ser>
          <idx val="3"/>
          <order val="3"/>
          <tx>
            <strRef>
              <f>'New Forex'!$F$2</f>
              <strCache>
                <ptCount val="1"/>
                <pt idx="0">
                  <v>close</v>
                </pt>
              </strCache>
            </strRef>
          </tx>
          <spPr>
            <a:ln cap="rnd" w="19050">
              <a:noFill/>
              <a:prstDash val="solid"/>
              <a:round/>
            </a:ln>
          </spPr>
          <marker>
            <symbol val="none"/>
            <spPr>
              <a:ln>
                <a:prstDash val="solid"/>
              </a:ln>
            </spPr>
          </marker>
          <trendline>
            <spPr>
              <a:ln cap="rnd" w="19050">
                <a:solidFill>
                  <a:srgbClr val="00B0F0"/>
                </a:solidFill>
                <a:prstDash val="sysDot"/>
              </a:ln>
            </spPr>
            <trendlineType val="linear"/>
            <dispRSqr val="0"/>
            <dispEq val="0"/>
          </trendline>
          <val>
            <numRef>
              <f>'New Forex'!$F$3:$F$24</f>
              <numCache>
                <formatCode>0.00000</formatCode>
                <ptCount val="22"/>
                <pt idx="21">
                  <v>1.13495</v>
                </pt>
              </numCache>
            </numRef>
          </val>
          <smooth val="0"/>
        </ser>
        <dLbls>
          <showLegendKey val="0"/>
          <showVal val="0"/>
          <showCatName val="0"/>
          <showSerName val="0"/>
          <showPercent val="0"/>
          <showBubbleSize val="0"/>
        </dLbls>
        <hiLowLines>
          <spPr>
            <a:ln algn="ctr" cap="flat" cmpd="sng" w="9525">
              <a:solidFill>
                <a:srgbClr val="FFFF00"/>
              </a:solidFill>
              <a:prstDash val="solid"/>
              <a:round/>
            </a:ln>
          </spPr>
        </hiLowLines>
        <upDownBars>
          <gapWidth val="150"/>
          <upBars>
            <spPr>
              <a:solidFill>
                <a:srgbClr val="00FF00"/>
              </a:solidFill>
              <a:ln algn="ctr" cap="flat" cmpd="sng" w="9525">
                <a:solidFill>
                  <a:srgbClr val="00FF00"/>
                </a:solidFill>
                <a:prstDash val="solid"/>
                <a:round/>
              </a:ln>
            </spPr>
          </upBars>
          <downBars>
            <spPr>
              <a:solidFill>
                <a:srgbClr val="FF6600"/>
              </a:solidFill>
              <a:ln algn="ctr" cap="flat" cmpd="sng" w="9525">
                <a:solidFill>
                  <a:srgbClr val="FF6600"/>
                </a:solidFill>
                <a:prstDash val="solid"/>
                <a:round/>
              </a:ln>
            </spPr>
          </downBars>
        </upDownBars>
        <axId val="221900240"/>
        <axId val="221900632"/>
      </stockChart>
      <catAx>
        <axId val="221900240"/>
        <scaling>
          <orientation val="minMax"/>
        </scaling>
        <delete val="0"/>
        <axPos val="b"/>
        <majorTickMark val="none"/>
        <minorTickMark val="none"/>
        <tickLblPos val="nextTo"/>
        <spPr>
          <a:noFill/>
          <a:ln algn="ctr" cap="flat" cmpd="sng" w="9525">
            <a:solidFill>
              <a:srgbClr val="FFFF00"/>
            </a:solidFill>
            <a:prstDash val="solid"/>
            <a:round/>
          </a:ln>
        </spPr>
        <txPr>
          <a:bodyPr anchor="ctr" anchorCtr="1" rot="-60000000" spcFirstLastPara="1" vert="horz" vertOverflow="ellipsis" wrap="square"/>
          <a:lstStyle/>
          <a:p>
            <a:pPr>
              <a:defRPr b="0" baseline="0" i="0" kern="1200" strike="noStrike" sz="200">
                <a:solidFill>
                  <a:sysClr lastClr="000000" val="windowText"/>
                </a:solidFill>
                <a:latin typeface="+mn-lt"/>
                <a:ea typeface="+mn-ea"/>
                <a:cs typeface="+mn-cs"/>
              </a:defRPr>
            </a:pPr>
            <a:r>
              <a:t/>
            </a:r>
            <a:endParaRPr lang="en-US"/>
          </a:p>
        </txPr>
        <crossAx val="221900632"/>
        <crosses val="autoZero"/>
        <auto val="1"/>
        <lblAlgn val="ctr"/>
        <lblOffset val="100"/>
        <noMultiLvlLbl val="0"/>
      </catAx>
      <valAx>
        <axId val="221900632"/>
        <scaling>
          <orientation val="minMax"/>
        </scaling>
        <delete val="0"/>
        <axPos val="l"/>
        <majorGridlines>
          <spPr>
            <a:ln algn="ctr" cap="flat" cmpd="sng" w="9525">
              <a:solidFill>
                <a:schemeClr val="accent1">
                  <a:alpha val="0"/>
                </a:schemeClr>
              </a:solidFill>
              <a:prstDash val="solid"/>
              <a:round/>
            </a:ln>
          </spPr>
        </majorGridlines>
        <numFmt formatCode="0.00000" sourceLinked="1"/>
        <majorTickMark val="none"/>
        <minorTickMark val="none"/>
        <tickLblPos val="nextTo"/>
        <spPr>
          <a:noFill/>
          <a:ln>
            <a:noFill/>
            <a:prstDash val="solid"/>
          </a:ln>
        </spPr>
        <txPr>
          <a:bodyPr anchor="ctr" anchorCtr="1" rot="-60000000" spcFirstLastPara="1" vert="horz" vertOverflow="ellipsis" wrap="square"/>
          <a:lstStyle/>
          <a:p>
            <a:pPr>
              <a:defRPr b="0" baseline="0" i="0" kern="1200" strike="noStrike" sz="500">
                <a:solidFill>
                  <a:srgbClr val="FFFF00"/>
                </a:solidFill>
                <a:latin typeface="+mn-lt"/>
                <a:ea typeface="+mn-ea"/>
                <a:cs typeface="+mn-cs"/>
              </a:defRPr>
            </a:pPr>
            <a:r>
              <a:t/>
            </a:r>
            <a:endParaRPr lang="en-US"/>
          </a:p>
        </txPr>
        <crossAx val="221900240"/>
        <crosses val="autoZero"/>
        <crossBetween val="between"/>
      </valAx>
    </plotArea>
    <plotVisOnly val="1"/>
    <dispBlanksAs val="gap"/>
  </chart>
</chartSpace>
</file>

<file path=xl/charts/chart2.xml><?xml version="1.0" encoding="utf-8"?>
<chartSpace xmlns:a="http://schemas.openxmlformats.org/drawingml/2006/main" xmlns="http://schemas.openxmlformats.org/drawingml/2006/chart">
  <chart>
    <title>
      <tx>
        <rich>
          <a:bodyPr anchor="ctr" anchorCtr="1" rot="0" spcFirstLastPara="1" vert="horz" vertOverflow="ellipsis" wrap="square"/>
          <a:lstStyle/>
          <a:p>
            <a:pPr>
              <a:defRPr b="0" baseline="0" i="0" kern="1200" spc="0" strike="noStrike" sz="1000">
                <a:solidFill>
                  <a:srgbClr val="FFFF00"/>
                </a:solidFill>
                <a:latin typeface="+mn-lt"/>
                <a:ea typeface="+mn-ea"/>
                <a:cs typeface="+mn-cs"/>
              </a:defRPr>
            </a:pPr>
            <a:r>
              <a:rPr baseline="0" lang="en-US" sz="1000">
                <a:solidFill>
                  <a:srgbClr val="FFFF00"/>
                </a:solidFill>
              </a:rPr>
              <a:t>EMA Proportions</a:t>
            </a:r>
          </a:p>
        </rich>
      </tx>
      <layout>
        <manualLayout>
          <xMode val="edge"/>
          <yMode val="edge"/>
          <x val="0.3923541119860017"/>
          <y val="0"/>
        </manualLayout>
      </layout>
      <overlay val="0"/>
      <spPr>
        <a:noFill/>
        <a:ln>
          <a:noFill/>
          <a:prstDash val="solid"/>
        </a:ln>
      </spPr>
    </title>
    <plotArea>
      <layout>
        <manualLayout>
          <layoutTarget val="inner"/>
          <xMode val="edge"/>
          <yMode val="edge"/>
          <x val="0.06567825896762905"/>
          <y val="0.07037980959801453"/>
          <w val="0.9037661854768154"/>
          <h val="0.7545306400810392"/>
        </manualLayout>
      </layout>
      <lineChart>
        <grouping val="standard"/>
        <varyColors val="0"/>
        <ser>
          <idx val="0"/>
          <order val="0"/>
          <tx>
            <strRef>
              <f>'EMA proportions'!$D$2</f>
              <strCache>
                <ptCount val="1"/>
                <pt idx="0">
                  <v>Fast EMA</v>
                </pt>
              </strCache>
            </strRef>
          </tx>
          <spPr>
            <a:ln cap="rnd" w="25400">
              <a:solidFill>
                <a:schemeClr val="accent1"/>
              </a:solidFill>
              <a:prstDash val="sysDot"/>
              <a:round/>
            </a:ln>
          </spPr>
          <marker>
            <symbol val="circle"/>
            <size val="5"/>
            <spPr>
              <a:solidFill>
                <a:schemeClr val="accent1"/>
              </a:solidFill>
              <a:ln w="25400">
                <a:solidFill>
                  <a:schemeClr val="accent1"/>
                </a:solidFill>
                <a:prstDash val="solid"/>
              </a:ln>
            </spPr>
          </marker>
          <cat>
            <strRef>
              <f>'EMA proportions'!$C$3:$C$11</f>
              <strCache>
                <ptCount val="9"/>
                <pt idx="0">
                  <v>1M</v>
                </pt>
                <pt idx="1">
                  <v>1W</v>
                </pt>
                <pt idx="2">
                  <v>1D</v>
                </pt>
                <pt idx="3">
                  <v>4H</v>
                </pt>
                <pt idx="4">
                  <v>1H</v>
                </pt>
                <pt idx="5">
                  <v>30M</v>
                </pt>
                <pt idx="6">
                  <v>15M</v>
                </pt>
                <pt idx="7">
                  <v>5M</v>
                </pt>
                <pt idx="8">
                  <v>1M</v>
                </pt>
              </strCache>
            </strRef>
          </cat>
          <val>
            <numRef>
              <f>'EMA proportions'!$D$3:$D$11</f>
              <numCache>
                <formatCode>General</formatCode>
                <ptCount val="9"/>
                <pt idx="0">
                  <v>0</v>
                </pt>
                <pt idx="1">
                  <v>4</v>
                </pt>
                <pt idx="2">
                  <v>9</v>
                </pt>
                <pt idx="3">
                  <v>15</v>
                </pt>
                <pt idx="4">
                  <v>22</v>
                </pt>
                <pt idx="5">
                  <v>26</v>
                </pt>
                <pt idx="6">
                  <v>31</v>
                </pt>
                <pt idx="7">
                  <v>41</v>
                </pt>
                <pt idx="8">
                  <v>62</v>
                </pt>
              </numCache>
            </numRef>
          </val>
          <smooth val="0"/>
        </ser>
        <ser>
          <idx val="1"/>
          <order val="1"/>
          <tx>
            <strRef>
              <f>'EMA proportions'!$E$2</f>
              <strCache>
                <ptCount val="1"/>
                <pt idx="0">
                  <v>Slow EMA</v>
                </pt>
              </strCache>
            </strRef>
          </tx>
          <spPr>
            <a:ln cap="rnd" w="25400">
              <a:solidFill>
                <a:schemeClr val="accent2"/>
              </a:solidFill>
              <a:prstDash val="sysDot"/>
              <a:round/>
            </a:ln>
          </spPr>
          <marker>
            <symbol val="circle"/>
            <size val="5"/>
            <spPr>
              <a:solidFill>
                <a:schemeClr val="accent2"/>
              </a:solidFill>
              <a:ln w="25400">
                <a:solidFill>
                  <a:schemeClr val="accent2"/>
                </a:solidFill>
                <a:prstDash val="solid"/>
              </a:ln>
            </spPr>
          </marker>
          <cat>
            <strRef>
              <f>'EMA proportions'!$C$3:$C$11</f>
              <strCache>
                <ptCount val="9"/>
                <pt idx="0">
                  <v>1M</v>
                </pt>
                <pt idx="1">
                  <v>1W</v>
                </pt>
                <pt idx="2">
                  <v>1D</v>
                </pt>
                <pt idx="3">
                  <v>4H</v>
                </pt>
                <pt idx="4">
                  <v>1H</v>
                </pt>
                <pt idx="5">
                  <v>30M</v>
                </pt>
                <pt idx="6">
                  <v>15M</v>
                </pt>
                <pt idx="7">
                  <v>5M</v>
                </pt>
                <pt idx="8">
                  <v>1M</v>
                </pt>
              </strCache>
            </strRef>
          </cat>
          <val>
            <numRef>
              <f>'EMA proportions'!$E$3:$E$11</f>
              <numCache>
                <formatCode>General</formatCode>
                <ptCount val="9"/>
                <pt idx="0">
                  <v>3</v>
                </pt>
                <pt idx="1">
                  <v>9</v>
                </pt>
                <pt idx="2">
                  <v>21</v>
                </pt>
                <pt idx="3">
                  <v>34</v>
                </pt>
                <pt idx="4">
                  <v>51</v>
                </pt>
                <pt idx="5">
                  <v>61</v>
                </pt>
                <pt idx="6">
                  <v>73</v>
                </pt>
                <pt idx="7">
                  <v>95</v>
                </pt>
                <pt idx="8">
                  <v>143</v>
                </pt>
              </numCache>
            </numRef>
          </val>
          <smooth val="0"/>
        </ser>
        <ser>
          <idx val="2"/>
          <order val="2"/>
          <tx>
            <strRef>
              <f>'EMA proportions'!$F$2</f>
              <strCache>
                <ptCount val="1"/>
                <pt idx="0">
                  <v>Al EMA</v>
                </pt>
              </strCache>
            </strRef>
          </tx>
          <spPr>
            <a:ln cap="rnd" w="19050">
              <a:solidFill>
                <a:schemeClr val="accent3"/>
              </a:solidFill>
              <a:prstDash val="sysDot"/>
              <a:round/>
            </a:ln>
          </spPr>
          <marker>
            <symbol val="circle"/>
            <size val="5"/>
            <spPr>
              <a:solidFill>
                <a:schemeClr val="accent3"/>
              </a:solidFill>
              <a:ln w="25400">
                <a:solidFill>
                  <a:schemeClr val="accent3"/>
                </a:solidFill>
                <a:prstDash val="solid"/>
              </a:ln>
            </spPr>
          </marker>
          <cat>
            <strRef>
              <f>'EMA proportions'!$C$3:$C$11</f>
              <strCache>
                <ptCount val="9"/>
                <pt idx="0">
                  <v>1M</v>
                </pt>
                <pt idx="1">
                  <v>1W</v>
                </pt>
                <pt idx="2">
                  <v>1D</v>
                </pt>
                <pt idx="3">
                  <v>4H</v>
                </pt>
                <pt idx="4">
                  <v>1H</v>
                </pt>
                <pt idx="5">
                  <v>30M</v>
                </pt>
                <pt idx="6">
                  <v>15M</v>
                </pt>
                <pt idx="7">
                  <v>5M</v>
                </pt>
                <pt idx="8">
                  <v>1M</v>
                </pt>
              </strCache>
            </strRef>
          </cat>
          <val>
            <numRef>
              <f>'EMA proportions'!$F$3:$F$11</f>
              <numCache>
                <formatCode>0</formatCode>
                <ptCount val="9"/>
                <pt idx="0">
                  <v>7</v>
                </pt>
                <pt idx="1">
                  <v>21</v>
                </pt>
                <pt idx="2">
                  <v>50</v>
                </pt>
                <pt idx="3">
                  <v>81</v>
                </pt>
                <pt idx="4">
                  <v>121</v>
                </pt>
                <pt idx="5">
                  <v>145</v>
                </pt>
                <pt idx="6">
                  <v>174</v>
                </pt>
                <pt idx="7">
                  <v>226</v>
                </pt>
                <pt idx="8">
                  <v>340</v>
                </pt>
              </numCache>
            </numRef>
          </val>
          <smooth val="0"/>
        </ser>
        <dLbls>
          <showLegendKey val="0"/>
          <showVal val="0"/>
          <showCatName val="0"/>
          <showSerName val="0"/>
          <showPercent val="0"/>
          <showBubbleSize val="0"/>
        </dLbls>
        <marker val="1"/>
        <smooth val="0"/>
        <axId val="221901416"/>
        <axId val="221901808"/>
      </lineChart>
      <catAx>
        <axId val="221901416"/>
        <scaling>
          <orientation val="minMax"/>
        </scaling>
        <delete val="0"/>
        <axPos val="b"/>
        <numFmt formatCode="General" sourceLinked="1"/>
        <majorTickMark val="none"/>
        <minorTickMark val="none"/>
        <tickLblPos val="nextTo"/>
        <spPr>
          <a:noFill/>
          <a:ln algn="ctr" cap="flat" cmpd="sng" w="9525">
            <a:solidFill>
              <a:schemeClr val="tx1">
                <a:lumMod val="15000"/>
                <a:lumOff val="85000"/>
              </a:schemeClr>
            </a:solidFill>
            <a:prstDash val="solid"/>
            <a:round/>
          </a:ln>
        </spPr>
        <txPr>
          <a:bodyPr anchor="ctr" anchorCtr="1" rot="-60000000" spcFirstLastPara="1" vert="horz" vertOverflow="ellipsis" wrap="square"/>
          <a:lstStyle/>
          <a:p>
            <a:pPr>
              <a:defRPr b="0" baseline="0" i="0" kern="1200" strike="noStrike" sz="700">
                <a:solidFill>
                  <a:srgbClr val="FFFF00"/>
                </a:solidFill>
                <a:latin typeface="+mn-lt"/>
                <a:ea typeface="+mn-ea"/>
                <a:cs typeface="+mn-cs"/>
              </a:defRPr>
            </a:pPr>
            <a:r>
              <a:t/>
            </a:r>
            <a:endParaRPr lang="en-US"/>
          </a:p>
        </txPr>
        <crossAx val="221901808"/>
        <crosses val="autoZero"/>
        <auto val="1"/>
        <lblAlgn val="ctr"/>
        <lblOffset val="100"/>
        <noMultiLvlLbl val="0"/>
      </catAx>
      <valAx>
        <axId val="221901808"/>
        <scaling>
          <orientation val="minMax"/>
        </scaling>
        <delete val="0"/>
        <axPos val="l"/>
        <majorGridlines>
          <spPr>
            <a:ln algn="ctr" cap="flat" cmpd="sng" w="9525">
              <a:solidFill>
                <a:schemeClr val="tx1">
                  <a:lumMod val="15000"/>
                  <a:lumOff val="85000"/>
                </a:schemeClr>
              </a:solidFill>
              <a:prstDash val="solid"/>
              <a:round/>
            </a:ln>
          </spPr>
        </majorGridlines>
        <numFmt formatCode="General" sourceLinked="1"/>
        <majorTickMark val="none"/>
        <minorTickMark val="none"/>
        <tickLblPos val="nextTo"/>
        <spPr>
          <a:noFill/>
          <a:ln>
            <a:noFill/>
            <a:prstDash val="solid"/>
          </a:ln>
        </spPr>
        <txPr>
          <a:bodyPr anchor="ctr" anchorCtr="1" rot="-60000000" spcFirstLastPara="1" vert="horz" vertOverflow="ellipsis" wrap="square"/>
          <a:lstStyle/>
          <a:p>
            <a:pPr>
              <a:defRPr b="0" baseline="0" i="0" kern="1200" strike="noStrike" sz="700">
                <a:solidFill>
                  <a:srgbClr val="FFFF00"/>
                </a:solidFill>
                <a:latin typeface="+mn-lt"/>
                <a:ea typeface="+mn-ea"/>
                <a:cs typeface="+mn-cs"/>
              </a:defRPr>
            </a:pPr>
            <a:r>
              <a:t/>
            </a:r>
            <a:endParaRPr lang="en-US"/>
          </a:p>
        </txPr>
        <crossAx val="221901416"/>
        <crosses val="autoZero"/>
        <crossBetween val="between"/>
      </valAx>
    </plotArea>
    <legend>
      <legendPos val="b"/>
      <layout>
        <manualLayout>
          <xMode val="edge"/>
          <yMode val="edge"/>
          <x val="0.2200433070866142"/>
          <y val="0.8911574818844775"/>
          <w val="0.6404687226596676"/>
          <h val="0.09730960823068364"/>
        </manualLayout>
      </layout>
      <overlay val="0"/>
      <spPr>
        <a:noFill/>
        <a:ln>
          <a:noFill/>
          <a:prstDash val="solid"/>
        </a:ln>
      </spPr>
      <txPr>
        <a:bodyPr anchor="ctr" anchorCtr="1" rot="0" spcFirstLastPara="1" vert="horz" vertOverflow="ellipsis" wrap="square"/>
        <a:lstStyle/>
        <a:p>
          <a:pPr>
            <a:defRPr b="0" baseline="0" i="0" kern="1200" strike="noStrike" sz="900">
              <a:solidFill>
                <a:srgbClr val="FFFF00"/>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GMO</author>
  </authors>
  <commentList>
    <comment authorId="0" ref="A1" shapeId="0">
      <text>
        <t>Time Frame</t>
      </text>
    </comment>
    <comment authorId="0" ref="C1" shapeId="0">
      <text>
        <t>Traded volume in Lots, Mini Lots, Micro Lots</t>
      </text>
    </comment>
    <comment authorId="0" ref="E1" shapeId="0">
      <text>
        <t>1 pip value</t>
      </text>
    </comment>
    <comment authorId="0" ref="I1" shapeId="0">
      <text>
        <t>Price per lot/mini lot/micro lot - depends</t>
      </text>
    </comment>
    <comment authorId="0" ref="K1" shapeId="0">
      <text>
        <t>Stop Loss level. Determine how far to put the stop loss level</t>
      </text>
    </comment>
    <comment authorId="0" ref="M1" shapeId="0">
      <text>
        <t>Take profit coeficient. Determine how far to put take profit level</t>
      </text>
    </comment>
    <comment authorId="0" ref="O1" shapeId="0">
      <text>
        <t>Macro command button - Macro moves the data one row up</t>
      </text>
    </comment>
    <comment authorId="0" ref="P1" shapeId="0">
      <text>
        <t>These three columns are for manual entering of price values.
Use them to enter corrections to the opened positions.
For example: In case you decided to take profite before previously planet price, or in case you decided to stop position before SL option to be activated.
Manual editing of possition by this way will calculate correct Loss or Profite result in currency. 
Then you can update you Trading diary.</t>
      </text>
    </comment>
    <comment authorId="0" ref="J2" shapeId="0">
      <text>
        <t>Stop/Loss in pips - depends from "OWN" column</t>
      </text>
    </comment>
    <comment authorId="0" ref="K2" shapeId="0">
      <text>
        <t>Stop/Loss in currency - depends from "OWN" column</t>
      </text>
    </comment>
    <comment authorId="0" ref="L2" shapeId="0">
      <text>
        <t>New order level in market price (pips)
Type market price at which you will open the new order</t>
      </text>
    </comment>
    <comment authorId="0" ref="M2" shapeId="0">
      <text>
        <t>Take profit (pips)
Depends from SL (pips) and New Order (NO)</t>
      </text>
    </comment>
    <comment authorId="0" ref="N2" shapeId="0">
      <text>
        <t>Take profit (currency)
Depends from SL (pips) and New Order (NO)</t>
      </text>
    </comment>
    <comment authorId="0" ref="O2" shapeId="0">
      <text>
        <t>Automatic confirmation that you are long or short</t>
      </text>
    </comment>
    <comment authorId="0" ref="P2" shapeId="0">
      <text>
        <t>What is you mind?
Are you short or long?
Type:
S - for short position
L - for long position
Planed improvements
MB - for market order buy
MS - for market order sell
BL - for buy limit
BS - for buy stop
SL - for sell limit
SS - for sell stop</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Id="rId1" Target="/xl/charts/chart1.xml" Type="http://schemas.openxmlformats.org/officeDocument/2006/relationships/chart" /></Relationships>
</file>

<file path=xl/drawings/_rels/drawing2.xml.rels><Relationships xmlns="http://schemas.openxmlformats.org/package/2006/relationships"><Relationship Id="rId1" Target="/xl/charts/chart2.xml" Type="http://schemas.openxmlformats.org/officeDocument/2006/relationships/chart"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19</col>
      <colOff>29307</colOff>
      <row>0</row>
      <rowOff>29308</rowOff>
    </from>
    <to>
      <col>23</col>
      <colOff>274026</colOff>
      <row>22</row>
      <rowOff>139212</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52917</colOff>
      <row>0</row>
      <rowOff>136524</rowOff>
    </from>
    <to>
      <col>11</col>
      <colOff>423333</colOff>
      <row>11</row>
      <rowOff>42334</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 Target="/xl/drawings/drawing1.xml" Type="http://schemas.openxmlformats.org/officeDocument/2006/relationships/drawing" /><Relationship Id="comments" Target="/xl/comments/comment1.xml" Type="http://schemas.openxmlformats.org/officeDocument/2006/relationships/comments" /><Relationship Id="anysvml" Target="/xl/drawings/vmlDrawing1.vml" Type="http://schemas.openxmlformats.org/officeDocument/2006/relationships/vmlDrawing" /></Relationships>
</file>

<file path=xl/worksheets/_rels/sheet3.xml.rels><Relationships xmlns="http://schemas.openxmlformats.org/package/2006/relationships"><Relationship Id="rId1" Target="/xl/drawings/drawing2.xml" Type="http://schemas.openxmlformats.org/officeDocument/2006/relationships/drawing" /></Relationships>
</file>

<file path=xl/worksheets/sheet1.xml><?xml version="1.0" encoding="utf-8"?>
<worksheet xmlns:r="http://schemas.openxmlformats.org/officeDocument/2006/relationships" xmlns="http://schemas.openxmlformats.org/spreadsheetml/2006/main">
  <sheetPr codeName="Sheet21">
    <outlinePr summaryBelow="1" summaryRight="1"/>
    <pageSetUpPr/>
  </sheetPr>
  <dimension ref="A1:X326"/>
  <sheetViews>
    <sheetView tabSelected="1" workbookViewId="0" zoomScaleNormal="100">
      <pane activePane="bottomLeft" state="frozen" topLeftCell="A27" ySplit="26"/>
      <selection activeCell="B3" pane="bottomLeft" sqref="B3:F23"/>
    </sheetView>
  </sheetViews>
  <sheetFormatPr baseColWidth="8" defaultColWidth="9.140625" defaultRowHeight="12" outlineLevelCol="0"/>
  <cols>
    <col customWidth="1" max="1" min="1" style="125" width="3.85546875"/>
    <col customWidth="1" max="2" min="2" style="125" width="9.7109375"/>
    <col customWidth="1" max="6" min="3" style="122" width="7.42578125"/>
    <col customWidth="1" max="7" min="7" style="125" width="12.28515625"/>
    <col customWidth="1" max="8" min="8" style="125" width="8.28515625"/>
    <col customWidth="1" max="9" min="9" style="125" width="7.7109375"/>
    <col customWidth="1" max="10" min="10" style="122" width="8.42578125"/>
    <col customWidth="1" max="11" min="11" style="125" width="7.7109375"/>
    <col customWidth="1" max="12" min="12" style="122" width="8.5703125"/>
    <col customWidth="1" max="13" min="13" style="122" width="8.42578125"/>
    <col customWidth="1" max="14" min="14" style="125" width="9.140625"/>
    <col customWidth="1" max="15" min="15" style="125" width="8.5703125"/>
    <col customWidth="1" max="16" min="16" style="125" width="3.140625"/>
    <col customWidth="1" max="17" min="17" style="122" width="7.28515625"/>
    <col customWidth="1" max="18" min="18" style="122" width="7.42578125"/>
    <col customWidth="1" max="19" min="19" style="154" width="7.85546875"/>
    <col customWidth="1" max="20" min="20" style="137" width="11"/>
    <col customWidth="1" max="21" min="21" style="125" width="3.140625"/>
    <col customWidth="1" max="22" min="22" style="133" width="5.85546875"/>
    <col customWidth="1" max="23" min="23" style="133" width="7.7109375"/>
    <col customWidth="1" max="24" min="24" style="125" width="4.42578125"/>
    <col customWidth="1" max="28" min="25" style="125" width="9.140625"/>
    <col customWidth="1" max="16384" min="29" style="125" width="9.140625"/>
  </cols>
  <sheetData>
    <row customHeight="1" ht="21" r="1" spans="1:24" thickBot="1" thickTop="1">
      <c r="A1" s="25" t="s">
        <v>0</v>
      </c>
      <c r="B1" s="46" t="n"/>
      <c r="C1" s="76" t="s">
        <v>1</v>
      </c>
      <c r="D1" s="4" t="n">
        <v>0.03</v>
      </c>
      <c r="E1" s="77" t="s">
        <v>2</v>
      </c>
      <c r="F1" s="155" t="n">
        <v>0.0001</v>
      </c>
      <c r="G1" s="156" t="n"/>
      <c r="H1" s="157" t="n"/>
      <c r="I1" s="5" t="s">
        <v>3</v>
      </c>
      <c r="J1" s="158" t="n">
        <v>16500</v>
      </c>
      <c r="K1" s="6" t="s">
        <v>4</v>
      </c>
      <c r="L1" s="159" t="n">
        <v>0.0005</v>
      </c>
      <c r="M1" s="83" t="s">
        <v>5</v>
      </c>
      <c r="N1" s="7" t="n">
        <v>2.2</v>
      </c>
      <c r="O1" s="8" t="n"/>
      <c r="P1" s="123" t="s">
        <v>6</v>
      </c>
      <c r="S1" s="160" t="n"/>
      <c r="V1" s="24" t="n"/>
    </row>
    <row customHeight="1" ht="39" r="2" spans="1:24" thickBot="1" thickTop="1">
      <c r="A2" s="9" t="n"/>
      <c r="B2" s="10" t="s">
        <v>7</v>
      </c>
      <c r="C2" s="85" t="s">
        <v>8</v>
      </c>
      <c r="D2" s="85" t="s">
        <v>9</v>
      </c>
      <c r="E2" s="85" t="s">
        <v>10</v>
      </c>
      <c r="F2" s="86" t="s">
        <v>11</v>
      </c>
      <c r="G2" s="61" t="s">
        <v>12</v>
      </c>
      <c r="H2" s="11" t="s">
        <v>13</v>
      </c>
      <c r="I2" s="62" t="s">
        <v>14</v>
      </c>
      <c r="J2" s="87" t="s">
        <v>15</v>
      </c>
      <c r="K2" s="10" t="s">
        <v>16</v>
      </c>
      <c r="L2" s="85" t="s">
        <v>17</v>
      </c>
      <c r="M2" s="85" t="s">
        <v>18</v>
      </c>
      <c r="N2" s="10" t="s">
        <v>19</v>
      </c>
      <c r="O2" s="51" t="s">
        <v>20</v>
      </c>
      <c r="P2" s="52" t="s">
        <v>21</v>
      </c>
      <c r="Q2" s="85" t="s">
        <v>22</v>
      </c>
      <c r="R2" s="88" t="s">
        <v>23</v>
      </c>
      <c r="S2" s="161" t="s">
        <v>24</v>
      </c>
    </row>
    <row customHeight="1" ht="12.75" r="3" spans="1:24" thickTop="1">
      <c r="A3" s="17" t="n">
        <v>1</v>
      </c>
      <c r="B3" s="90" t="n">
        <v>43374</v>
      </c>
      <c r="C3" s="91" t="n">
        <v>1.16182</v>
      </c>
      <c r="D3" s="91" t="n">
        <v>1.16253</v>
      </c>
      <c r="E3" s="91" t="n">
        <v>1.15634</v>
      </c>
      <c r="F3" s="92" t="n">
        <v>1.1578</v>
      </c>
      <c r="G3" s="63">
        <f>IFERROR(IF(AND(C3="",D3="",E3="",F3=""),"",
 IF(AND(C3&lt;&gt;"",D3&lt;&gt;"",E3&lt;&gt;"",F3&lt;&gt;"",F3=C3),"White DOJI",
 IF(AND(C3&lt;&gt;"",D3&lt;&gt;"",E3&lt;&gt;"",F3&lt;&gt;"",F3&gt;C3,(ABS(C3-F3))&lt;$G$1*2),"Bull DOJI",
 IF(AND(C3&lt;&gt;"",D3&lt;&gt;"",E3&lt;&gt;"",F3&lt;&gt;"",F3&lt;C3,(ABS(C3-F3))&lt;$G$1*2),"Bear DOJI",
 IF(AND(C3&lt;&gt;"",D3&lt;&gt;"",E3&lt;&gt;"",F3&lt;&gt;"",F3&gt;C3,((C3-E3)/(F3-C3))&gt;3,((C3-E3)/(D3-F3))&gt;3,((D3-F3)/(F3-C3))&lt;=4.5),"Bull Pin Type A",
 IF(AND(C3&lt;&gt;"",D3&lt;&gt;"",E3&lt;&gt;"",F3&lt;&gt;"",F3&gt;C3,((D3-F3)/(F3-C3))&gt;3,((D3-F3)/(C3-E3))&gt;3,((C3-E3)/(F3-C3))&lt;=4.5),"Bull Pin Type B",
 IF(AND(C3&lt;&gt;"",D3&lt;&gt;"",E3&lt;&gt;"",F3&lt;&gt;"",F3&gt;C3,((D3-F3)/(F3-C3))&gt;3,((C3-E3)/(F3-C3))&gt;3),"Bull Pin Type C",
 IF(AND(C3&lt;&gt;"",D3&lt;&gt;"",E3&lt;&gt;"",F3&lt;&gt;"",F3&lt;C3,((D3-C3)/(C3-F3))&gt;3,((D3-C3)/(F3-E3))&gt;3,((F3-E3)/(C3-F3))&lt;=4.5),"Bear Pin Type A",
 IF(AND(C3&lt;&gt;"",D3&lt;&gt;"",E3&lt;&gt;"",F3&lt;&gt;"",F3&lt;C3,((F3-E3)/(C3-F3))&gt;3,((F3-E3)/(D3-C3))&gt;3,((D3-C3)/(C3-F3))&lt;=4.5),"Bear Pin Type B",
 IF(AND(C3&lt;&gt;"",D3&lt;&gt;"",E3&lt;&gt;"",F3&lt;&gt;"",F3&lt;C3,((D3-C3)/(C3-F3))&gt;3,((F3-E3)/(C3-F3))&gt;3),"Bear Pin Type C","")))))))))),"")</f>
        <v/>
      </c>
      <c r="H3" s="28">
        <f>IFERROR(IF(AND(C3&gt;F3,D3&lt;D4,D3&lt;F4,F3&gt;=C4,E3&gt;E4),"Bu-Englf",
       IF(AND(C3&lt;F3,D3&lt;D4,F3&lt;=C4,E3&gt;E4,E3&gt;F4),"Be-Englf",
       IF(AND(C3&lt;F3,D3&gt;D4,D3&gt;D5,E3&lt;E4,E3&gt;E5,E5&lt;E4,E4&lt;C5,E4&lt;F5,D4&gt;C5,D4&gt;F5),"Bu-Fakey1",
       IF(AND(C3&gt;F3,D3&gt;D4,D3&gt;D5,E3&lt;E4,E5&lt;E3,E5&lt;E4,E4&lt;C5,E4&lt;F5,D4&gt;C5,D4&gt;F5),"Be-Fakey1",
       IF(AND(C3&lt;F3,E3&lt;E4,E3&lt;E5,D3&gt;D4,D3&lt;D5,D5&gt;D4,E4&lt;C5,E4&lt;F5,D4&gt;C5,D4&gt;F5),"Bu-Fakey2",
       IF(AND(C3&gt;F3,E3&lt;E4,E3&lt;E5,D3&gt;D4,D5&gt;D3,D5&gt;D4,E4&lt;C5,E4&lt;F5,D4&gt;C5,D4&gt;F5),"Be-Fakey2",
       IF(AND(C3&lt;F3,D3&gt;D4,E3&lt;E4),"Bu-Insd",
       IF(AND(C3&gt;F3,D3&gt;D4,E3&lt;E4),"Be-Insd","")))))))),"")</f>
        <v/>
      </c>
      <c r="I3" s="54">
        <f>IFERROR(
  IF(AND(C3&lt;&gt;"",C4&lt;&gt;"",D3&lt;&gt;"",E3&lt;&gt;"",C4&lt;D3,C4&gt;E3,OR(ABS(C4-C3)&gt;70*$F$1,ABS(C4-F3)&gt;70*$F$1)),"InGap",
  IF(AND(C3&lt;&gt;"",C4&lt;&gt;"",D3&lt;&gt;"",E3&lt;&gt;"",OR(AND(C4&gt;D3,C4-D3&gt;5*$F$1),AND(C4&lt;E3,E3-C4&gt;5*$F$1))),"OutGap","")),"")</f>
        <v/>
      </c>
      <c r="J3" s="93">
        <f>IFERROR(IF(P3="","",IF(AND(P3="L",Q3&lt;&gt;""),Q3,IF(AND(P3="L",Q3=""),E3-$L$1,IF(AND(P3="S",Q3&lt;&gt;""),Q3,IF(P3="S",D3+$L$1,""))))),"")</f>
        <v/>
      </c>
      <c r="K3" s="18">
        <f>IF(L3="","",-(ABS(L3-J3)*$J$1*$D$1))</f>
        <v/>
      </c>
      <c r="L3" s="94" t="n"/>
      <c r="M3" s="95">
        <f>IFERROR(IF(OR(J3="",L3="",AND(J3="",L3="")),"",
IF(AND(J3&lt;&gt;"",L3&lt;&gt;"",P3="L",R3&lt;&gt;""),R3,
IF(AND(J3&lt;&gt;"",L3&lt;&gt;"",P3="L",R3=""),(((L3-J3)*$N$1)+L3),
IF(AND(J3&lt;&gt;"",L3&lt;&gt;"",P3="S",R3&lt;&gt;""),R3,
IF(AND(J3&lt;&gt;"",L3&lt;&gt;"",P3="S",R3=""),L3-(((J3-L3)*$N$1))))))),"")</f>
        <v/>
      </c>
      <c r="N3" s="18">
        <f>IF(L3="","",ABS(L3-M3)*$J$1*$D$1)</f>
        <v/>
      </c>
      <c r="O3" s="47">
        <f>IF(L3="","",IF(L3&lt;J3,"Sell","Buy"))</f>
        <v/>
      </c>
      <c r="P3" s="48" t="n"/>
      <c r="Q3" s="96" t="n"/>
      <c r="R3" s="97" t="n"/>
      <c r="S3" s="34">
        <f>IFERROR(IF(O3="","",IF(O3="Buy",(($F$24-L3)*$J$1)*$D$1,IF(O3="sell",((L3-$F$24)*$J$1)*$D$1,""))),"")</f>
        <v/>
      </c>
    </row>
    <row r="4" spans="1:24">
      <c r="A4" s="19" t="n">
        <v>2</v>
      </c>
      <c r="B4" s="90" t="n">
        <v>43375</v>
      </c>
      <c r="C4" s="91" t="n">
        <v>1.15792</v>
      </c>
      <c r="D4" s="91" t="n">
        <v>1.15808</v>
      </c>
      <c r="E4" s="91" t="n">
        <v>1.15052</v>
      </c>
      <c r="F4" s="92" t="n">
        <v>1.15493</v>
      </c>
      <c r="G4" s="55">
        <f>IFERROR(IF(AND(C4="",D4="",E4="",F4=""),"",
 IF(AND(C4&lt;&gt;"",D4&lt;&gt;"",E4&lt;&gt;"",F4&lt;&gt;"",F4=C4),"White DOJI",
 IF(AND(C4&lt;&gt;"",D4&lt;&gt;"",E4&lt;&gt;"",F4&lt;&gt;"",F4&gt;C4,(ABS(C4-F4))&lt;$G$1*2),"Bull DOJI",
 IF(AND(C4&lt;&gt;"",D4&lt;&gt;"",E4&lt;&gt;"",F4&lt;&gt;"",F4&lt;C4,(ABS(C4-F4))&lt;$G$1*2),"Bear DOJI",
 IF(AND(C4&lt;&gt;"",D4&lt;&gt;"",E4&lt;&gt;"",F4&lt;&gt;"",F4&gt;C4,((C4-E4)/(F4-C4))&gt;3,((C4-E4)/(D4-F4))&gt;3,((D4-F4)/(F4-C4))&lt;=4.5),"Bull Pin Type A",
 IF(AND(C4&lt;&gt;"",D4&lt;&gt;"",E4&lt;&gt;"",F4&lt;&gt;"",F4&gt;C4,((D4-F4)/(F4-C4))&gt;3,((D4-F4)/(C4-E4))&gt;3,((C4-E4)/(F4-C4))&lt;=4.5),"Bull Pin Type B",
 IF(AND(C4&lt;&gt;"",D4&lt;&gt;"",E4&lt;&gt;"",F4&lt;&gt;"",F4&gt;C4,((D4-F4)/(F4-C4))&gt;3,((C4-E4)/(F4-C4))&gt;3),"Bull Pin Type C",
 IF(AND(C4&lt;&gt;"",D4&lt;&gt;"",E4&lt;&gt;"",F4&lt;&gt;"",F4&lt;C4,((D4-C4)/(C4-F4))&gt;3,((D4-C4)/(F4-E4))&gt;3,((F4-E4)/(C4-F4))&lt;=4.5),"Bear Pin Type A",
 IF(AND(C4&lt;&gt;"",D4&lt;&gt;"",E4&lt;&gt;"",F4&lt;&gt;"",F4&lt;C4,((F4-E4)/(C4-F4))&gt;3,((F4-E4)/(D4-C4))&gt;3,((D4-C4)/(C4-F4))&lt;=4.5),"Bear Pin Type B",
 IF(AND(C4&lt;&gt;"",D4&lt;&gt;"",E4&lt;&gt;"",F4&lt;&gt;"",F4&lt;C4,((D4-C4)/(C4-F4))&gt;3,((F4-E4)/(C4-F4))&gt;3),"Bear Pin Type C","")))))))))),"")</f>
        <v/>
      </c>
      <c r="H4" s="33">
        <f>IFERROR(IF(AND(C4&gt;F4,D4&lt;D5,D4&lt;F5,F4&gt;=C5,E4&gt;E5),"Bu-Englf",
       IF(AND(C4&lt;F4,D4&lt;D5,F4&lt;=C5,E4&gt;E5,E4&gt;F5),"Be-Englf",
       IF(AND(C4&lt;F4,D4&gt;D5,D4&gt;D6,E4&lt;E5,E4&gt;E6,E6&lt;E5,E5&lt;C6,E5&lt;F6,D5&gt;C6,D5&gt;F6),"Bu-Fakey1",
       IF(AND(C4&gt;F4,D4&gt;D5,D4&gt;D6,E4&lt;E5,E6&lt;E4,E6&lt;E5,E5&lt;C6,E5&lt;F6,D5&gt;C6,D5&gt;F6),"Be-Fakey1",
       IF(AND(C4&lt;F4,E4&lt;E5,E4&lt;E6,D4&gt;D5,D4&lt;D6,D6&gt;D5,E5&lt;C6,E5&lt;F6,D5&gt;C6,D5&gt;F6),"Bu-Fakey2",
       IF(AND(C4&gt;F4,E4&lt;E5,E4&lt;E6,D4&gt;D5,D6&gt;D4,D6&gt;D5,E5&lt;C6,E5&lt;F6,D5&gt;C6,D5&gt;F6),"Be-Fakey2",
       IF(AND(C4&lt;F4,D4&gt;D5,E4&lt;E5),"Bu-Insd",
       IF(AND(C4&gt;F4,D4&gt;D5,E4&lt;E5),"Be-Insd","")))))))),"")</f>
        <v/>
      </c>
      <c r="I4" s="56">
        <f>IFERROR(
  IF(AND(C4&lt;&gt;"",C5&lt;&gt;"",D4&lt;&gt;"",E4&lt;&gt;"",C5&lt;D4,C5&gt;E4,OR(ABS(C5-C4)&gt;70*$F$1,ABS(C5-F4)&gt;70*$F$1)),"InGap",
  IF(AND(C4&lt;&gt;"",C5&lt;&gt;"",D4&lt;&gt;"",E4&lt;&gt;"",OR(AND(C5&gt;D4,C5-D4&gt;5*$F$1),AND(C5&lt;E4,E4-C5&gt;5*$F$1))),"OutGap","")),"")</f>
        <v/>
      </c>
      <c r="J4" s="93">
        <f>IFERROR(IF(P4="","",IF(AND(P4="L",Q4&lt;&gt;""),Q4,IF(AND(P4="L",Q4=""),E4-$L$1,IF(AND(P4="S",Q4&lt;&gt;""),Q4,IF(P4="S",D4+$L$1,""))))),"")</f>
        <v/>
      </c>
      <c r="K4" s="18">
        <f>IF(L4="","",-(ABS(L4-J4)*$J$1*$D$1))</f>
        <v/>
      </c>
      <c r="L4" s="94" t="n"/>
      <c r="M4" s="98">
        <f>IFERROR(IF(OR(J4="",L4="",AND(J4="",L4="")),"",
IF(AND(J4&lt;&gt;"",L4&lt;&gt;"",P4="L",R4&lt;&gt;""),R4,
IF(AND(J4&lt;&gt;"",L4&lt;&gt;"",P4="L",R4=""),(((L4-J4)*$N$1)+L4),
IF(AND(J4&lt;&gt;"",L4&lt;&gt;"",P4="S",R4&lt;&gt;""),R4,
IF(AND(J4&lt;&gt;"",L4&lt;&gt;"",P4="S",R4=""),L4-(((J4-L4)*$N$1))))))),"")</f>
        <v/>
      </c>
      <c r="N4" s="20">
        <f>IF(L4="","",ABS(L4-M4)*$J$1*$D$1)</f>
        <v/>
      </c>
      <c r="O4" s="22">
        <f>IF(L4="","",IF(L4&lt;J4,"Sell","Buy"))</f>
        <v/>
      </c>
      <c r="P4" s="49" t="n"/>
      <c r="Q4" s="96" t="n"/>
      <c r="R4" s="97" t="n"/>
      <c r="S4" s="35">
        <f>IFERROR(IF(O4="","",IF(O4="Buy",(($F$24-L4)*$J$1)*$D$1,IF(O4="sell",((L4-$F$24)*$J$1)*$D$1,""))),"")</f>
        <v/>
      </c>
    </row>
    <row r="5" spans="1:24">
      <c r="A5" s="19" t="n">
        <v>3</v>
      </c>
      <c r="B5" s="90" t="n">
        <v>43376</v>
      </c>
      <c r="C5" s="91" t="n">
        <v>1.15496</v>
      </c>
      <c r="D5" s="91" t="n">
        <v>1.1594</v>
      </c>
      <c r="E5" s="91" t="n">
        <v>1.1464</v>
      </c>
      <c r="F5" s="92" t="n">
        <v>1.14786</v>
      </c>
      <c r="G5" s="55">
        <f>IFERROR(IF(AND(C5="",D5="",E5="",F5=""),"",
IF(AND(C5&lt;&gt;"",D5&lt;&gt;"",E5&lt;&gt;"",F5&lt;&gt;"",F5=C5),"White DOJI",
IF(AND(C5&lt;&gt;"",D5&lt;&gt;"",E5&lt;&gt;"",F5&lt;&gt;"",F5&gt;C5,(ABS(C5-F5))&lt;$G$1*2),"Bull DOJI",
IF(AND(C5&lt;&gt;"",D5&lt;&gt;"",E5&lt;&gt;"",F5&lt;&gt;"",F5&lt;C5,(ABS(C5-F5))&lt;$G$1*2),"Bear DOJI",
IF(AND(C5&lt;&gt;"",D5&lt;&gt;"",E5&lt;&gt;"",F5&lt;&gt;"",F5&gt;C5,((C5-E5)/(F5-C5))&gt;3,((C5-E5)/(D5-F5))&gt;3,((D5-F5)/(F5-C5))&lt;=4.5),"Bull Pin Type A",
IF(AND(C5&lt;&gt;"",D5&lt;&gt;"",E5&lt;&gt;"",F5&lt;&gt;"",F5&gt;C5,((D5-F5)/(F5-C5))&gt;3,((D5-F5)/(C5-E5))&gt;3,((C5-E5)/(F5-C5))&lt;=4.5),"Bull Pin Type B",
IF(AND(C5&lt;&gt;"",D5&lt;&gt;"",E5&lt;&gt;"",F5&lt;&gt;"",F5&gt;C5,((D5-F5)/(F5-C5))&gt;3,((C5-E5)/(F5-C5))&gt;3),"Bull Pin Type C",
IF(AND(C5&lt;&gt;"",D5&lt;&gt;"",E5&lt;&gt;"",F5&lt;&gt;"",F5&lt;C5,((D5-C5)/(C5-F5))&gt;3,((D5-C5)/(F5-E5))&gt;3,((F5-E5)/(C5-F5))&lt;=4.5),"Bear Pin Type A",
IF(AND(C5&lt;&gt;"",D5&lt;&gt;"",E5&lt;&gt;"",F5&lt;&gt;"",F5&lt;C5,((F5-E5)/(C5-F5))&gt;3,((F5-E5)/(D5-C5))&gt;3,((D5-C5)/(C5-F5))&lt;=4.5),"Bear Pin Type B",
IF(AND(C5&lt;&gt;"",D5&lt;&gt;"",E5&lt;&gt;"",F5&lt;&gt;"",F5&lt;C5,((D5-C5)/(C5-F5))&gt;3,((F5-E5)/(C5-F5))&gt;3),"Bear Pin Type C","")))))))))),"")</f>
        <v/>
      </c>
      <c r="H5" s="26">
        <f>IFERROR(IF(AND(C5&gt;F5,D5&lt;D6,D5&lt;F6,F5&gt;=C6,E5&gt;E6),"Bu-Englf",
IF(AND(C5&lt;F5,D5&lt;D6,F5&lt;=C6,E5&gt;E6,E5&gt;F6),"Be-Englf",
IF(AND(C5&lt;F5,D5&gt;D6,D5&gt;D7,E5&lt;E6,E5&gt;E7,E7&lt;E6,E6&lt;C7,E6&lt;F7,D6&gt;C7,D6&gt;F7),"Bu-Fakey1",
IF(AND(C5&gt;F5,D5&gt;D6,D5&gt;D7,E5&lt;E6,E7&lt;E5,E7&lt;E6,E6&lt;C7,E6&lt;F7,D6&gt;C7,D6&gt;F7),"Be-Fakey1",
IF(AND(C5&lt;F5,E5&lt;E6,E5&lt;E7,D5&gt;D6,D5&lt;D7,D7&gt;D6,E6&lt;C7,E6&lt;F7,D6&gt;C7,D6&gt;F7),"Bu-Fakey2",
IF(AND(C5&gt;F5,E5&lt;E6,E5&lt;E7,D5&gt;D6,D7&gt;D5,D7&gt;D6,E6&lt;C7,E6&lt;F7,D6&gt;C7,D6&gt;F7),"Be-Fakey2",
IF(AND(C5&lt;F5,D5&gt;D6,E5&lt;E6),"Bu-Insd",
IF(AND(C5&gt;F5,D5&gt;D6,E5&lt;E6),"Be-Insd","")))))))),"")</f>
        <v/>
      </c>
      <c r="I5" s="57">
        <f>IFERROR(
IF(AND(C5&lt;&gt;"",C6&lt;&gt;"",D5&lt;&gt;"",E5&lt;&gt;"",C6&lt;D5,C6&gt;E5,OR(ABS(C6-C5)&gt;70*$F$1,ABS(C6-F5)&gt;70*$F$1)),"InGap",
IF(AND(C5&lt;&gt;"",C6&lt;&gt;"",D5&lt;&gt;"",E5&lt;&gt;"",OR(AND(C6&gt;D5,C6-D5&gt;5*$F$1),AND(C6&lt;E5,E5-C6&gt;5*$F$1))),"OutGap","")),"")</f>
        <v/>
      </c>
      <c r="J5" s="93">
        <f>IFERROR(IF(P5="","",IF(AND(P5="L",Q5&lt;&gt;""),Q5,IF(AND(P5="L",Q5=""),E5-$L$1,IF(AND(P5="S",Q5&lt;&gt;""),Q5,IF(P5="S",D5+$L$1,""))))),"")</f>
        <v/>
      </c>
      <c r="K5" s="18">
        <f>IF(L5="","",-(ABS(L5-J5)*$J$1*$D$1))</f>
        <v/>
      </c>
      <c r="L5" s="94" t="n"/>
      <c r="M5" s="98">
        <f>IFERROR(IF(OR(J5="",L5="",AND(J5="",L5="")),"",
IF(AND(J5&lt;&gt;"",L5&lt;&gt;"",P5="L",R5&lt;&gt;""),R5,
IF(AND(J5&lt;&gt;"",L5&lt;&gt;"",P5="L",R5=""),(((L5-J5)*$N$1)+L5),
IF(AND(J5&lt;&gt;"",L5&lt;&gt;"",P5="S",R5&lt;&gt;""),R5,
IF(AND(J5&lt;&gt;"",L5&lt;&gt;"",P5="S",R5=""),L5-(((J5-L5)*$N$1))))))),"")</f>
        <v/>
      </c>
      <c r="N5" s="20">
        <f>IF(L5="","",ABS(L5-M5)*$J$1*$D$1)</f>
        <v/>
      </c>
      <c r="O5" s="22">
        <f>IF(L5="","",IF(L5&lt;J5,"Sell","Buy"))</f>
        <v/>
      </c>
      <c r="P5" s="49" t="n"/>
      <c r="Q5" s="96" t="n"/>
      <c r="R5" s="97" t="n"/>
      <c r="S5" s="35">
        <f>IFERROR(IF(O5="","",IF(O5="Buy",(($F$24-L5)*$J$1)*$D$1,IF(O5="sell",((L5-$F$24)*$J$1)*$D$1,""))),"")</f>
        <v/>
      </c>
    </row>
    <row r="6" spans="1:24">
      <c r="A6" s="19" t="n">
        <v>4</v>
      </c>
      <c r="B6" s="90" t="n">
        <v>43377</v>
      </c>
      <c r="C6" s="91" t="n">
        <v>1.14736</v>
      </c>
      <c r="D6" s="91" t="n">
        <v>1.1543</v>
      </c>
      <c r="E6" s="91" t="n">
        <v>1.14636</v>
      </c>
      <c r="F6" s="92" t="n">
        <v>1.15141</v>
      </c>
      <c r="G6" s="55">
        <f>IFERROR(IF(AND(C6="",D6="",E6="",F6=""),"",
IF(AND(C6&lt;&gt;"",D6&lt;&gt;"",E6&lt;&gt;"",F6&lt;&gt;"",F6=C6),"White DOJI",
IF(AND(C6&lt;&gt;"",D6&lt;&gt;"",E6&lt;&gt;"",F6&lt;&gt;"",F6&gt;C6,(ABS(C6-F6))&lt;$G$1*2),"Bull DOJI",
IF(AND(C6&lt;&gt;"",D6&lt;&gt;"",E6&lt;&gt;"",F6&lt;&gt;"",F6&lt;C6,(ABS(C6-F6))&lt;$G$1*2),"Bear DOJI",
IF(AND(C6&lt;&gt;"",D6&lt;&gt;"",E6&lt;&gt;"",F6&lt;&gt;"",F6&gt;C6,((C6-E6)/(F6-C6))&gt;3,((C6-E6)/(D6-F6))&gt;3,((D6-F6)/(F6-C6))&lt;=4.5),"Bull Pin Type A",
IF(AND(C6&lt;&gt;"",D6&lt;&gt;"",E6&lt;&gt;"",F6&lt;&gt;"",F6&gt;C6,((D6-F6)/(F6-C6))&gt;3,((D6-F6)/(C6-E6))&gt;3,((C6-E6)/(F6-C6))&lt;=4.5),"Bull Pin Type B",
IF(AND(C6&lt;&gt;"",D6&lt;&gt;"",E6&lt;&gt;"",F6&lt;&gt;"",F6&gt;C6,((D6-F6)/(F6-C6))&gt;3,((C6-E6)/(F6-C6))&gt;3),"Bull Pin Type C",
IF(AND(C6&lt;&gt;"",D6&lt;&gt;"",E6&lt;&gt;"",F6&lt;&gt;"",F6&lt;C6,((D6-C6)/(C6-F6))&gt;3,((D6-C6)/(F6-E6))&gt;3,((F6-E6)/(C6-F6))&lt;=4.5),"Bear Pin Type A",
IF(AND(C6&lt;&gt;"",D6&lt;&gt;"",E6&lt;&gt;"",F6&lt;&gt;"",F6&lt;C6,((F6-E6)/(C6-F6))&gt;3,((F6-E6)/(D6-C6))&gt;3,((D6-C6)/(C6-F6))&lt;=4.5),"Bear Pin Type B",
IF(AND(C6&lt;&gt;"",D6&lt;&gt;"",E6&lt;&gt;"",F6&lt;&gt;"",F6&lt;C6,((D6-C6)/(C6-F6))&gt;3,((F6-E6)/(C6-F6))&gt;3),"Bear Pin Type C","")))))))))),"")</f>
        <v/>
      </c>
      <c r="H6" s="26">
        <f>IFERROR(IF(AND(C6&gt;F6,D6&lt;D7,D6&lt;F7,F6&gt;=C7,E6&gt;E7),"Bu-Englf",
IF(AND(C6&lt;F6,D6&lt;D7,F6&lt;=C7,E6&gt;E7,E6&gt;F7),"Be-Englf",
IF(AND(C6&lt;F6,D6&gt;D7,D6&gt;D8,E6&lt;E7,E6&gt;E8,E8&lt;E7,E7&lt;C8,E7&lt;F8,D7&gt;C8,D7&gt;F8),"Bu-Fakey1",
IF(AND(C6&gt;F6,D6&gt;D7,D6&gt;D8,E6&lt;E7,E8&lt;E6,E8&lt;E7,E7&lt;C8,E7&lt;F8,D7&gt;C8,D7&gt;F8),"Be-Fakey1",
IF(AND(C6&lt;F6,E6&lt;E7,E6&lt;E8,D6&gt;D7,D6&lt;D8,D8&gt;D7,E7&lt;C8,E7&lt;F8,D7&gt;C8,D7&gt;F8),"Bu-Fakey2",
IF(AND(C6&gt;F6,E6&lt;E7,E6&lt;E8,D6&gt;D7,D8&gt;D6,D8&gt;D7,E7&lt;C8,E7&lt;F8,D7&gt;C8,D7&gt;F8),"Be-Fakey2",
IF(AND(C6&lt;F6,D6&gt;D7,E6&lt;E7),"Bu-Insd",
IF(AND(C6&gt;F6,D6&gt;D7,E6&lt;E7),"Be-Insd","")))))))),"")</f>
        <v/>
      </c>
      <c r="I6" s="57">
        <f>IFERROR(
IF(AND(C6&lt;&gt;"",C7&lt;&gt;"",D6&lt;&gt;"",E6&lt;&gt;"",C7&lt;D6,C7&gt;E6,OR(ABS(C7-C6)&gt;70*$F$1,ABS(C7-F6)&gt;70*$F$1)),"InGap",
IF(AND(C6&lt;&gt;"",C7&lt;&gt;"",D6&lt;&gt;"",E6&lt;&gt;"",OR(AND(C7&gt;D6,C7-D6&gt;5*$F$1),AND(C7&lt;E6,E6-C7&gt;5*$F$1))),"OutGap","")),"")</f>
        <v/>
      </c>
      <c r="J6" s="93">
        <f>IFERROR(IF(P6="","",IF(AND(P6="L",Q6&lt;&gt;""),Q6,IF(AND(P6="L",Q6=""),E6-$L$1,IF(AND(P6="S",Q6&lt;&gt;""),Q6,IF(P6="S",D6+$L$1,""))))),"")</f>
        <v/>
      </c>
      <c r="K6" s="18">
        <f>IF(L6="","",-(ABS(L6-J6)*$J$1*$D$1))</f>
        <v/>
      </c>
      <c r="L6" s="94" t="n"/>
      <c r="M6" s="98">
        <f>IFERROR(IF(OR(J6="",L6="",AND(J6="",L6="")),"",
IF(AND(J6&lt;&gt;"",L6&lt;&gt;"",P6="L",R6&lt;&gt;""),R6,
IF(AND(J6&lt;&gt;"",L6&lt;&gt;"",P6="L",R6=""),(((L6-J6)*$N$1)+L6),
IF(AND(J6&lt;&gt;"",L6&lt;&gt;"",P6="S",R6&lt;&gt;""),R6,
IF(AND(J6&lt;&gt;"",L6&lt;&gt;"",P6="S",R6=""),L6-(((J6-L6)*$N$1))))))),"")</f>
        <v/>
      </c>
      <c r="N6" s="20">
        <f>IF(L6="","",ABS(L6-M6)*$J$1*$D$1)</f>
        <v/>
      </c>
      <c r="O6" s="22">
        <f>IF(L6="","",IF(L6&lt;J6,"Sell","Buy"))</f>
        <v/>
      </c>
      <c r="P6" s="49" t="n"/>
      <c r="Q6" s="96" t="n"/>
      <c r="R6" s="97" t="n"/>
      <c r="S6" s="35">
        <f>IFERROR(IF(O6="","",IF(O6="Buy",(($F$24-L6)*$J$1)*$D$1,IF(O6="sell",((L6-$F$24)*$J$1)*$D$1,""))),"")</f>
        <v/>
      </c>
    </row>
    <row r="7" spans="1:24">
      <c r="A7" s="19" t="n">
        <v>5</v>
      </c>
      <c r="B7" s="90" t="n">
        <v>43378</v>
      </c>
      <c r="C7" s="91" t="n">
        <v>1.1516</v>
      </c>
      <c r="D7" s="91" t="n">
        <v>1.15502</v>
      </c>
      <c r="E7" s="91" t="n">
        <v>1.14838</v>
      </c>
      <c r="F7" s="92" t="n">
        <v>1.15221</v>
      </c>
      <c r="G7" s="55">
        <f>IFERROR(IF(AND(C7="",D7="",E7="",F7=""),"",
IF(AND(C7&lt;&gt;"",D7&lt;&gt;"",E7&lt;&gt;"",F7&lt;&gt;"",F7=C7),"White DOJI",
IF(AND(C7&lt;&gt;"",D7&lt;&gt;"",E7&lt;&gt;"",F7&lt;&gt;"",F7&gt;C7,(ABS(C7-F7))&lt;$G$1*2),"Bull DOJI",
IF(AND(C7&lt;&gt;"",D7&lt;&gt;"",E7&lt;&gt;"",F7&lt;&gt;"",F7&lt;C7,(ABS(C7-F7))&lt;$G$1*2),"Bear DOJI",
IF(AND(C7&lt;&gt;"",D7&lt;&gt;"",E7&lt;&gt;"",F7&lt;&gt;"",F7&gt;C7,((C7-E7)/(F7-C7))&gt;3,((C7-E7)/(D7-F7))&gt;3,((D7-F7)/(F7-C7))&lt;=4.5),"Bull Pin Type A",
IF(AND(C7&lt;&gt;"",D7&lt;&gt;"",E7&lt;&gt;"",F7&lt;&gt;"",F7&gt;C7,((D7-F7)/(F7-C7))&gt;3,((D7-F7)/(C7-E7))&gt;3,((C7-E7)/(F7-C7))&lt;=4.5),"Bull Pin Type B",
IF(AND(C7&lt;&gt;"",D7&lt;&gt;"",E7&lt;&gt;"",F7&lt;&gt;"",F7&gt;C7,((D7-F7)/(F7-C7))&gt;3,((C7-E7)/(F7-C7))&gt;3),"Bull Pin Type C",
IF(AND(C7&lt;&gt;"",D7&lt;&gt;"",E7&lt;&gt;"",F7&lt;&gt;"",F7&lt;C7,((D7-C7)/(C7-F7))&gt;3,((D7-C7)/(F7-E7))&gt;3,((F7-E7)/(C7-F7))&lt;=4.5),"Bear Pin Type A",
IF(AND(C7&lt;&gt;"",D7&lt;&gt;"",E7&lt;&gt;"",F7&lt;&gt;"",F7&lt;C7,((F7-E7)/(C7-F7))&gt;3,((F7-E7)/(D7-C7))&gt;3,((D7-C7)/(C7-F7))&lt;=4.5),"Bear Pin Type B",
IF(AND(C7&lt;&gt;"",D7&lt;&gt;"",E7&lt;&gt;"",F7&lt;&gt;"",F7&lt;C7,((D7-C7)/(C7-F7))&gt;3,((F7-E7)/(C7-F7))&gt;3),"Bear Pin Type C","")))))))))),"")</f>
        <v/>
      </c>
      <c r="H7" s="26">
        <f>IFERROR(IF(AND(C7&gt;F7,D7&lt;D8,D7&lt;F8,F7&gt;=C8,E7&gt;E8),"Bu-Englf",
IF(AND(C7&lt;F7,D7&lt;D8,F7&lt;=C8,E7&gt;E8,E7&gt;F8),"Be-Englf",
IF(AND(C7&lt;F7,D7&gt;D8,D7&gt;D9,E7&lt;E8,E7&gt;E9,E9&lt;E8,E8&lt;C9,E8&lt;F9,D8&gt;C9,D8&gt;F9),"Bu-Fakey1",
IF(AND(C7&gt;F7,D7&gt;D8,D7&gt;D9,E7&lt;E8,E9&lt;E7,E9&lt;E8,E8&lt;C9,E8&lt;F9,D8&gt;C9,D8&gt;F9),"Be-Fakey1",
IF(AND(C7&lt;F7,E7&lt;E8,E7&lt;E9,D7&gt;D8,D7&lt;D9,D9&gt;D8,E8&lt;C9,E8&lt;F9,D8&gt;C9,D8&gt;F9),"Bu-Fakey2",
IF(AND(C7&gt;F7,E7&lt;E8,E7&lt;E9,D7&gt;D8,D9&gt;D7,D9&gt;D8,E8&lt;C9,E8&lt;F9,D8&gt;C9,D8&gt;F9),"Be-Fakey2",
IF(AND(C7&lt;F7,D7&gt;D8,E7&lt;E8),"Bu-Insd",
IF(AND(C7&gt;F7,D7&gt;D8,E7&lt;E8),"Be-Insd","")))))))),"")</f>
        <v/>
      </c>
      <c r="I7" s="57">
        <f>IFERROR(
IF(AND(C7&lt;&gt;"",C8&lt;&gt;"",D7&lt;&gt;"",E7&lt;&gt;"",C8&lt;D7,C8&gt;E7,OR(ABS(C8-C7)&gt;70*$F$1,ABS(C8-F7)&gt;70*$F$1)),"InGap",
IF(AND(C7&lt;&gt;"",C8&lt;&gt;"",D7&lt;&gt;"",E7&lt;&gt;"",OR(AND(C8&gt;D7,C8-D7&gt;5*$F$1),AND(C8&lt;E7,E7-C8&gt;5*$F$1))),"OutGap","")),"")</f>
        <v/>
      </c>
      <c r="J7" s="93">
        <f>IFERROR(IF(P7="","",IF(AND(P7="L",Q7&lt;&gt;""),Q7,IF(AND(P7="L",Q7=""),E7-$L$1,IF(AND(P7="S",Q7&lt;&gt;""),Q7,IF(P7="S",D7+$L$1,""))))),"")</f>
        <v/>
      </c>
      <c r="K7" s="18">
        <f>IF(L7="","",-(ABS(L7-J7)*$J$1*$D$1))</f>
        <v/>
      </c>
      <c r="L7" s="94" t="n"/>
      <c r="M7" s="98">
        <f>IFERROR(IF(OR(J7="",L7="",AND(J7="",L7="")),"",
IF(AND(J7&lt;&gt;"",L7&lt;&gt;"",P7="L",R7&lt;&gt;""),R7,
IF(AND(J7&lt;&gt;"",L7&lt;&gt;"",P7="L",R7=""),(((L7-J7)*$N$1)+L7),
IF(AND(J7&lt;&gt;"",L7&lt;&gt;"",P7="S",R7&lt;&gt;""),R7,
IF(AND(J7&lt;&gt;"",L7&lt;&gt;"",P7="S",R7=""),L7-(((J7-L7)*$N$1))))))),"")</f>
        <v/>
      </c>
      <c r="N7" s="20">
        <f>IF(L7="","",ABS(L7-M7)*$J$1*$D$1)</f>
        <v/>
      </c>
      <c r="O7" s="22">
        <f>IF(L7="","",IF(L7&lt;J7,"Sell","Buy"))</f>
        <v/>
      </c>
      <c r="P7" s="49" t="n"/>
      <c r="Q7" s="96" t="n"/>
      <c r="R7" s="97" t="n"/>
      <c r="S7" s="35">
        <f>IFERROR(IF(O7="","",IF(O7="Buy",(($F$24-L7)*$J$1)*$D$1,IF(O7="sell",((L7-$F$24)*$J$1)*$D$1,""))),"")</f>
        <v/>
      </c>
    </row>
    <row r="8" spans="1:24">
      <c r="A8" s="19" t="n">
        <v>6</v>
      </c>
      <c r="B8" s="90" t="n">
        <v>43381</v>
      </c>
      <c r="C8" s="91" t="n">
        <v>1.15231</v>
      </c>
      <c r="D8" s="91" t="n">
        <v>1.15298</v>
      </c>
      <c r="E8" s="91" t="n">
        <v>1.146</v>
      </c>
      <c r="F8" s="92" t="n">
        <v>1.14916</v>
      </c>
      <c r="G8" s="55">
        <f>IFERROR(IF(AND(C8="",D8="",E8="",F8=""),"",
IF(AND(C8&lt;&gt;"",D8&lt;&gt;"",E8&lt;&gt;"",F8&lt;&gt;"",F8=C8),"White DOJI",
IF(AND(C8&lt;&gt;"",D8&lt;&gt;"",E8&lt;&gt;"",F8&lt;&gt;"",F8&gt;C8,(ABS(C8-F8))&lt;$G$1*2),"Bull DOJI",
IF(AND(C8&lt;&gt;"",D8&lt;&gt;"",E8&lt;&gt;"",F8&lt;&gt;"",F8&lt;C8,(ABS(C8-F8))&lt;$G$1*2),"Bear DOJI",
IF(AND(C8&lt;&gt;"",D8&lt;&gt;"",E8&lt;&gt;"",F8&lt;&gt;"",F8&gt;C8,((C8-E8)/(F8-C8))&gt;3,((C8-E8)/(D8-F8))&gt;3,((D8-F8)/(F8-C8))&lt;=4.5),"Bull Pin Type A",
IF(AND(C8&lt;&gt;"",D8&lt;&gt;"",E8&lt;&gt;"",F8&lt;&gt;"",F8&gt;C8,((D8-F8)/(F8-C8))&gt;3,((D8-F8)/(C8-E8))&gt;3,((C8-E8)/(F8-C8))&lt;=4.5),"Bull Pin Type B",
IF(AND(C8&lt;&gt;"",D8&lt;&gt;"",E8&lt;&gt;"",F8&lt;&gt;"",F8&gt;C8,((D8-F8)/(F8-C8))&gt;3,((C8-E8)/(F8-C8))&gt;3),"Bull Pin Type C",
IF(AND(C8&lt;&gt;"",D8&lt;&gt;"",E8&lt;&gt;"",F8&lt;&gt;"",F8&lt;C8,((D8-C8)/(C8-F8))&gt;3,((D8-C8)/(F8-E8))&gt;3,((F8-E8)/(C8-F8))&lt;=4.5),"Bear Pin Type A",
IF(AND(C8&lt;&gt;"",D8&lt;&gt;"",E8&lt;&gt;"",F8&lt;&gt;"",F8&lt;C8,((F8-E8)/(C8-F8))&gt;3,((F8-E8)/(D8-C8))&gt;3,((D8-C8)/(C8-F8))&lt;=4.5),"Bear Pin Type B",
IF(AND(C8&lt;&gt;"",D8&lt;&gt;"",E8&lt;&gt;"",F8&lt;&gt;"",F8&lt;C8,((D8-C8)/(C8-F8))&gt;3,((F8-E8)/(C8-F8))&gt;3),"Bear Pin Type C","")))))))))),"")</f>
        <v/>
      </c>
      <c r="H8" s="26">
        <f>IFERROR(IF(AND(C8&gt;F8,D8&lt;D9,D8&lt;F9,F8&gt;=C9,E8&gt;E9),"Bu-Englf",
IF(AND(C8&lt;F8,D8&lt;D9,F8&lt;=C9,E8&gt;E9,E8&gt;F9),"Be-Englf",
IF(AND(C8&lt;F8,D8&gt;D9,D8&gt;D10,E8&lt;E9,E8&gt;E10,E10&lt;E9,E9&lt;C10,E9&lt;F10,D9&gt;C10,D9&gt;F10),"Bu-Fakey1",
IF(AND(C8&gt;F8,D8&gt;D9,D8&gt;D10,E8&lt;E9,E10&lt;E8,E10&lt;E9,E9&lt;C10,E9&lt;F10,D9&gt;C10,D9&gt;F10),"Be-Fakey1",
IF(AND(C8&lt;F8,E8&lt;E9,E8&lt;E10,D8&gt;D9,D8&lt;D10,D10&gt;D9,E9&lt;C10,E9&lt;F10,D9&gt;C10,D9&gt;F10),"Bu-Fakey2",
IF(AND(C8&gt;F8,E8&lt;E9,E8&lt;E10,D8&gt;D9,D10&gt;D8,D10&gt;D9,E9&lt;C10,E9&lt;F10,D9&gt;C10,D9&gt;F10),"Be-Fakey2",
IF(AND(C8&lt;F8,D8&gt;D9,E8&lt;E9),"Bu-Insd",
IF(AND(C8&gt;F8,D8&gt;D9,E8&lt;E9),"Be-Insd","")))))))),"")</f>
        <v/>
      </c>
      <c r="I8" s="57">
        <f>IFERROR(
IF(AND(C8&lt;&gt;"",C9&lt;&gt;"",D8&lt;&gt;"",E8&lt;&gt;"",C9&lt;D8,C9&gt;E8,OR(ABS(C9-C8)&gt;70*$F$1,ABS(C9-F8)&gt;70*$F$1)),"InGap",
IF(AND(C8&lt;&gt;"",C9&lt;&gt;"",D8&lt;&gt;"",E8&lt;&gt;"",OR(AND(C9&gt;D8,C9-D8&gt;5*$F$1),AND(C9&lt;E8,E8-C9&gt;5*$F$1))),"OutGap","")),"")</f>
        <v/>
      </c>
      <c r="J8" s="93">
        <f>IFERROR(IF(P8="","",IF(AND(P8="L",Q8&lt;&gt;""),Q8,IF(AND(P8="L",Q8=""),E8-$L$1,IF(AND(P8="S",Q8&lt;&gt;""),Q8,IF(P8="S",D8+$L$1,""))))),"")</f>
        <v/>
      </c>
      <c r="K8" s="18">
        <f>IF(L8="","",-(ABS(L8-J8)*$J$1*$D$1))</f>
        <v/>
      </c>
      <c r="L8" s="94" t="n"/>
      <c r="M8" s="98">
        <f>IFERROR(IF(OR(J8="",L8="",AND(J8="",L8="")),"",
IF(AND(J8&lt;&gt;"",L8&lt;&gt;"",P8="L",R8&lt;&gt;""),R8,
IF(AND(J8&lt;&gt;"",L8&lt;&gt;"",P8="L",R8=""),(((L8-J8)*$N$1)+L8),
IF(AND(J8&lt;&gt;"",L8&lt;&gt;"",P8="S",R8&lt;&gt;""),R8,
IF(AND(J8&lt;&gt;"",L8&lt;&gt;"",P8="S",R8=""),L8-(((J8-L8)*$N$1))))))),"")</f>
        <v/>
      </c>
      <c r="N8" s="20">
        <f>IF(L8="","",ABS(L8-M8)*$J$1*$D$1)</f>
        <v/>
      </c>
      <c r="O8" s="22">
        <f>IF(L8="","",IF(L8&lt;J8,"Sell","Buy"))</f>
        <v/>
      </c>
      <c r="P8" s="49" t="n"/>
      <c r="Q8" s="96" t="n"/>
      <c r="R8" s="97" t="n"/>
      <c r="S8" s="35">
        <f>IFERROR(IF(O8="","",IF(O8="Buy",(($F$24-L8)*$J$1)*$D$1,IF(O8="sell",((L8-$F$24)*$J$1)*$D$1,""))),"")</f>
        <v/>
      </c>
    </row>
    <row r="9" spans="1:24">
      <c r="A9" s="19" t="n">
        <v>7</v>
      </c>
      <c r="B9" s="90" t="n">
        <v>43382</v>
      </c>
      <c r="C9" s="91" t="n">
        <v>1.14879</v>
      </c>
      <c r="D9" s="91" t="n">
        <v>1.15035</v>
      </c>
      <c r="E9" s="91" t="n">
        <v>1.14322</v>
      </c>
      <c r="F9" s="92" t="n">
        <v>1.1492</v>
      </c>
      <c r="G9" s="55">
        <f>IFERROR(IF(AND(C9="",D9="",E9="",F9=""),"",
IF(AND(C9&lt;&gt;"",D9&lt;&gt;"",E9&lt;&gt;"",F9&lt;&gt;"",F9=C9),"White DOJI",
IF(AND(C9&lt;&gt;"",D9&lt;&gt;"",E9&lt;&gt;"",F9&lt;&gt;"",F9&gt;C9,(ABS(C9-F9))&lt;$G$1*2),"Bull DOJI",
IF(AND(C9&lt;&gt;"",D9&lt;&gt;"",E9&lt;&gt;"",F9&lt;&gt;"",F9&lt;C9,(ABS(C9-F9))&lt;$G$1*2),"Bear DOJI",
IF(AND(C9&lt;&gt;"",D9&lt;&gt;"",E9&lt;&gt;"",F9&lt;&gt;"",F9&gt;C9,((C9-E9)/(F9-C9))&gt;3,((C9-E9)/(D9-F9))&gt;3,((D9-F9)/(F9-C9))&lt;=4.5),"Bull Pin Type A",
IF(AND(C9&lt;&gt;"",D9&lt;&gt;"",E9&lt;&gt;"",F9&lt;&gt;"",F9&gt;C9,((D9-F9)/(F9-C9))&gt;3,((D9-F9)/(C9-E9))&gt;3,((C9-E9)/(F9-C9))&lt;=4.5),"Bull Pin Type B",
IF(AND(C9&lt;&gt;"",D9&lt;&gt;"",E9&lt;&gt;"",F9&lt;&gt;"",F9&gt;C9,((D9-F9)/(F9-C9))&gt;3,((C9-E9)/(F9-C9))&gt;3),"Bull Pin Type C",
IF(AND(C9&lt;&gt;"",D9&lt;&gt;"",E9&lt;&gt;"",F9&lt;&gt;"",F9&lt;C9,((D9-C9)/(C9-F9))&gt;3,((D9-C9)/(F9-E9))&gt;3,((F9-E9)/(C9-F9))&lt;=4.5),"Bear Pin Type A",
IF(AND(C9&lt;&gt;"",D9&lt;&gt;"",E9&lt;&gt;"",F9&lt;&gt;"",F9&lt;C9,((F9-E9)/(C9-F9))&gt;3,((F9-E9)/(D9-C9))&gt;3,((D9-C9)/(C9-F9))&lt;=4.5),"Bear Pin Type B",
IF(AND(C9&lt;&gt;"",D9&lt;&gt;"",E9&lt;&gt;"",F9&lt;&gt;"",F9&lt;C9,((D9-C9)/(C9-F9))&gt;3,((F9-E9)/(C9-F9))&gt;3),"Bear Pin Type C","")))))))))),"")</f>
        <v/>
      </c>
      <c r="H9" s="26">
        <f>IFERROR(IF(AND(C9&gt;F9,D9&lt;D10,D9&lt;F10,F9&gt;=C10,E9&gt;E10),"Bu-Englf",
IF(AND(C9&lt;F9,D9&lt;D10,F9&lt;=C10,E9&gt;E10,E9&gt;F10),"Be-Englf",
IF(AND(C9&lt;F9,D9&gt;D10,D9&gt;D11,E9&lt;E10,E9&gt;E11,E11&lt;E10,E10&lt;C11,E10&lt;F11,D10&gt;C11,D10&gt;F11),"Bu-Fakey1",
IF(AND(C9&gt;F9,D9&gt;D10,D9&gt;D11,E9&lt;E10,E11&lt;E9,E11&lt;E10,E10&lt;C11,E10&lt;F11,D10&gt;C11,D10&gt;F11),"Be-Fakey1",
IF(AND(C9&lt;F9,E9&lt;E10,E9&lt;E11,D9&gt;D10,D9&lt;D11,D11&gt;D10,E10&lt;C11,E10&lt;F11,D10&gt;C11,D10&gt;F11),"Bu-Fakey2",
IF(AND(C9&gt;F9,E9&lt;E10,E9&lt;E11,D9&gt;D10,D11&gt;D9,D11&gt;D10,E10&lt;C11,E10&lt;F11,D10&gt;C11,D10&gt;F11),"Be-Fakey2",
IF(AND(C9&lt;F9,D9&gt;D10,E9&lt;E10),"Bu-Insd",
IF(AND(C9&gt;F9,D9&gt;D10,E9&lt;E10),"Be-Insd","")))))))),"")</f>
        <v/>
      </c>
      <c r="I9" s="57">
        <f>IFERROR(
IF(AND(C9&lt;&gt;"",C10&lt;&gt;"",D9&lt;&gt;"",E9&lt;&gt;"",C10&lt;D9,C10&gt;E9,OR(ABS(C10-C9)&gt;70*$F$1,ABS(C10-F9)&gt;70*$F$1)),"InGap",
IF(AND(C9&lt;&gt;"",C10&lt;&gt;"",D9&lt;&gt;"",E9&lt;&gt;"",OR(AND(C10&gt;D9,C10-D9&gt;5*$F$1),AND(C10&lt;E9,E9-C10&gt;5*$F$1))),"OutGap","")),"")</f>
        <v/>
      </c>
      <c r="J9" s="93">
        <f>IFERROR(IF(P9="","",IF(AND(P9="L",Q9&lt;&gt;""),Q9,IF(AND(P9="L",Q9=""),E9-$L$1,IF(AND(P9="S",Q9&lt;&gt;""),Q9,IF(P9="S",D9+$L$1,""))))),"")</f>
        <v/>
      </c>
      <c r="K9" s="18">
        <f>IF(L9="","",-(ABS(L9-J9)*$J$1*$D$1))</f>
        <v/>
      </c>
      <c r="L9" s="94" t="n"/>
      <c r="M9" s="98">
        <f>IFERROR(IF(OR(J9="",L9="",AND(J9="",L9="")),"",
IF(AND(J9&lt;&gt;"",L9&lt;&gt;"",P9="L",R9&lt;&gt;""),R9,
IF(AND(J9&lt;&gt;"",L9&lt;&gt;"",P9="L",R9=""),(((L9-J9)*$N$1)+L9),
IF(AND(J9&lt;&gt;"",L9&lt;&gt;"",P9="S",R9&lt;&gt;""),R9,
IF(AND(J9&lt;&gt;"",L9&lt;&gt;"",P9="S",R9=""),L9-(((J9-L9)*$N$1))))))),"")</f>
        <v/>
      </c>
      <c r="N9" s="20">
        <f>IF(L9="","",ABS(L9-M9)*$J$1*$D$1)</f>
        <v/>
      </c>
      <c r="O9" s="22">
        <f>IF(L9="","",IF(L9&lt;J9,"Sell","Buy"))</f>
        <v/>
      </c>
      <c r="P9" s="49" t="n"/>
      <c r="Q9" s="96" t="n"/>
      <c r="R9" s="97" t="n"/>
      <c r="S9" s="35">
        <f>IFERROR(IF(O9="","",IF(O9="Buy",(($F$24-L9)*$J$1)*$D$1,IF(O9="sell",((L9-$F$24)*$J$1)*$D$1,""))),"")</f>
        <v/>
      </c>
    </row>
    <row r="10" spans="1:24">
      <c r="A10" s="19" t="n">
        <v>8</v>
      </c>
      <c r="B10" s="90" t="n">
        <v>43383</v>
      </c>
      <c r="C10" s="91" t="n">
        <v>1.14904</v>
      </c>
      <c r="D10" s="91" t="n">
        <v>1.15451</v>
      </c>
      <c r="E10" s="91" t="n">
        <v>1.14798</v>
      </c>
      <c r="F10" s="92" t="n">
        <v>1.1521</v>
      </c>
      <c r="G10" s="55">
        <f>IFERROR(IF(AND(C10="",D10="",E10="",F10=""),"",
IF(AND(C10&lt;&gt;"",D10&lt;&gt;"",E10&lt;&gt;"",F10&lt;&gt;"",F10=C10),"White DOJI",
IF(AND(C10&lt;&gt;"",D10&lt;&gt;"",E10&lt;&gt;"",F10&lt;&gt;"",F10&gt;C10,(ABS(C10-F10))&lt;$G$1*2),"Bull DOJI",
IF(AND(C10&lt;&gt;"",D10&lt;&gt;"",E10&lt;&gt;"",F10&lt;&gt;"",F10&lt;C10,(ABS(C10-F10))&lt;$G$1*2),"Bear DOJI",
IF(AND(C10&lt;&gt;"",D10&lt;&gt;"",E10&lt;&gt;"",F10&lt;&gt;"",F10&gt;C10,((C10-E10)/(F10-C10))&gt;3,((C10-E10)/(D10-F10))&gt;3,((D10-F10)/(F10-C10))&lt;=4.5),"Bull Pin Type A",
IF(AND(C10&lt;&gt;"",D10&lt;&gt;"",E10&lt;&gt;"",F10&lt;&gt;"",F10&gt;C10,((D10-F10)/(F10-C10))&gt;3,((D10-F10)/(C10-E10))&gt;3,((C10-E10)/(F10-C10))&lt;=4.5),"Bull Pin Type B",
IF(AND(C10&lt;&gt;"",D10&lt;&gt;"",E10&lt;&gt;"",F10&lt;&gt;"",F10&gt;C10,((D10-F10)/(F10-C10))&gt;3,((C10-E10)/(F10-C10))&gt;3),"Bull Pin Type C",
IF(AND(C10&lt;&gt;"",D10&lt;&gt;"",E10&lt;&gt;"",F10&lt;&gt;"",F10&lt;C10,((D10-C10)/(C10-F10))&gt;3,((D10-C10)/(F10-E10))&gt;3,((F10-E10)/(C10-F10))&lt;=4.5),"Bear Pin Type A",
IF(AND(C10&lt;&gt;"",D10&lt;&gt;"",E10&lt;&gt;"",F10&lt;&gt;"",F10&lt;C10,((F10-E10)/(C10-F10))&gt;3,((F10-E10)/(D10-C10))&gt;3,((D10-C10)/(C10-F10))&lt;=4.5),"Bear Pin Type B",
IF(AND(C10&lt;&gt;"",D10&lt;&gt;"",E10&lt;&gt;"",F10&lt;&gt;"",F10&lt;C10,((D10-C10)/(C10-F10))&gt;3,((F10-E10)/(C10-F10))&gt;3),"Bear Pin Type C","")))))))))),"")</f>
        <v/>
      </c>
      <c r="H10" s="26">
        <f>IFERROR(IF(AND(C10&gt;F10,D10&lt;D11,D10&lt;F11,F10&gt;=C11,E10&gt;E11),"Bu-Englf",
IF(AND(C10&lt;F10,D10&lt;D11,F10&lt;=C11,E10&gt;E11,E10&gt;F11),"Be-Englf",
IF(AND(C10&lt;F10,D10&gt;D11,D10&gt;D12,E10&lt;E11,E10&gt;E12,E12&lt;E11,E11&lt;C12,E11&lt;F12,D11&gt;C12,D11&gt;F12),"Bu-Fakey1",
IF(AND(C10&gt;F10,D10&gt;D11,D10&gt;D12,E10&lt;E11,E12&lt;E10,E12&lt;E11,E11&lt;C12,E11&lt;F12,D11&gt;C12,D11&gt;F12),"Be-Fakey1",
IF(AND(C10&lt;F10,E10&lt;E11,E10&lt;E12,D10&gt;D11,D10&lt;D12,D12&gt;D11,E11&lt;C12,E11&lt;F12,D11&gt;C12,D11&gt;F12),"Bu-Fakey2",
IF(AND(C10&gt;F10,E10&lt;E11,E10&lt;E12,D10&gt;D11,D12&gt;D10,D12&gt;D11,E11&lt;C12,E11&lt;F12,D11&gt;C12,D11&gt;F12),"Be-Fakey2",
IF(AND(C10&lt;F10,D10&gt;D11,E10&lt;E11),"Bu-Insd",
IF(AND(C10&gt;F10,D10&gt;D11,E10&lt;E11),"Be-Insd","")))))))),"")</f>
        <v/>
      </c>
      <c r="I10" s="57">
        <f>IFERROR(
IF(AND(C10&lt;&gt;"",C11&lt;&gt;"",D10&lt;&gt;"",E10&lt;&gt;"",C11&lt;D10,C11&gt;E10,OR(ABS(C11-C10)&gt;70*$F$1,ABS(C11-F10)&gt;70*$F$1)),"InGap",
IF(AND(C10&lt;&gt;"",C11&lt;&gt;"",D10&lt;&gt;"",E10&lt;&gt;"",OR(AND(C11&gt;D10,C11-D10&gt;5*$F$1),AND(C11&lt;E10,E10-C11&gt;5*$F$1))),"OutGap","")),"")</f>
        <v/>
      </c>
      <c r="J10" s="93">
        <f>IFERROR(IF(P10="","",IF(AND(P10="L",Q10&lt;&gt;""),Q10,IF(AND(P10="L",Q10=""),E10-$L$1,IF(AND(P10="S",Q10&lt;&gt;""),Q10,IF(P10="S",D10+$L$1,""))))),"")</f>
        <v/>
      </c>
      <c r="K10" s="18">
        <f>IF(L10="","",-(ABS(L10-J10)*$J$1*$D$1))</f>
        <v/>
      </c>
      <c r="L10" s="94" t="n"/>
      <c r="M10" s="98">
        <f>IFERROR(IF(OR(J10="",L10="",AND(J10="",L10="")),"",
IF(AND(J10&lt;&gt;"",L10&lt;&gt;"",P10="L",R10&lt;&gt;""),R10,
IF(AND(J10&lt;&gt;"",L10&lt;&gt;"",P10="L",R10=""),(((L10-J10)*$N$1)+L10),
IF(AND(J10&lt;&gt;"",L10&lt;&gt;"",P10="S",R10&lt;&gt;""),R10,
IF(AND(J10&lt;&gt;"",L10&lt;&gt;"",P10="S",R10=""),L10-(((J10-L10)*$N$1))))))),"")</f>
        <v/>
      </c>
      <c r="N10" s="20">
        <f>IF(L10="","",ABS(L10-M10)*$J$1*$D$1)</f>
        <v/>
      </c>
      <c r="O10" s="22">
        <f>IF(L10="","",IF(L10&lt;J10,"Sell","Buy"))</f>
        <v/>
      </c>
      <c r="P10" s="49" t="n"/>
      <c r="Q10" s="96" t="n"/>
      <c r="R10" s="97" t="n"/>
      <c r="S10" s="35">
        <f>IFERROR(IF(O10="","",IF(O10="Buy",(($F$24-L10)*$J$1)*$D$1,IF(O10="sell",((L10-$F$24)*$J$1)*$D$1,""))),"")</f>
        <v/>
      </c>
    </row>
    <row r="11" spans="1:24">
      <c r="A11" s="19" t="n">
        <v>9</v>
      </c>
      <c r="B11" s="90" t="n">
        <v>43384</v>
      </c>
      <c r="C11" s="91" t="n">
        <v>1.15219</v>
      </c>
      <c r="D11" s="91" t="n">
        <v>1.15996</v>
      </c>
      <c r="E11" s="91" t="n">
        <v>1.15201</v>
      </c>
      <c r="F11" s="92" t="n">
        <v>1.15936</v>
      </c>
      <c r="G11" s="55">
        <f>IFERROR(IF(AND(C11="",D11="",E11="",F11=""),"",
IF(AND(C11&lt;&gt;"",D11&lt;&gt;"",E11&lt;&gt;"",F11&lt;&gt;"",F11=C11),"White DOJI",
IF(AND(C11&lt;&gt;"",D11&lt;&gt;"",E11&lt;&gt;"",F11&lt;&gt;"",F11&gt;C11,(ABS(C11-F11))&lt;$G$1*2),"Bull DOJI",
IF(AND(C11&lt;&gt;"",D11&lt;&gt;"",E11&lt;&gt;"",F11&lt;&gt;"",F11&lt;C11,(ABS(C11-F11))&lt;$G$1*2),"Bear DOJI",
IF(AND(C11&lt;&gt;"",D11&lt;&gt;"",E11&lt;&gt;"",F11&lt;&gt;"",F11&gt;C11,((C11-E11)/(F11-C11))&gt;3,((C11-E11)/(D11-F11))&gt;3,((D11-F11)/(F11-C11))&lt;=4.5),"Bull Pin Type A",
IF(AND(C11&lt;&gt;"",D11&lt;&gt;"",E11&lt;&gt;"",F11&lt;&gt;"",F11&gt;C11,((D11-F11)/(F11-C11))&gt;3,((D11-F11)/(C11-E11))&gt;3,((C11-E11)/(F11-C11))&lt;=4.5),"Bull Pin Type B",
IF(AND(C11&lt;&gt;"",D11&lt;&gt;"",E11&lt;&gt;"",F11&lt;&gt;"",F11&gt;C11,((D11-F11)/(F11-C11))&gt;3,((C11-E11)/(F11-C11))&gt;3),"Bull Pin Type C",
IF(AND(C11&lt;&gt;"",D11&lt;&gt;"",E11&lt;&gt;"",F11&lt;&gt;"",F11&lt;C11,((D11-C11)/(C11-F11))&gt;3,((D11-C11)/(F11-E11))&gt;3,((F11-E11)/(C11-F11))&lt;=4.5),"Bear Pin Type A",
IF(AND(C11&lt;&gt;"",D11&lt;&gt;"",E11&lt;&gt;"",F11&lt;&gt;"",F11&lt;C11,((F11-E11)/(C11-F11))&gt;3,((F11-E11)/(D11-C11))&gt;3,((D11-C11)/(C11-F11))&lt;=4.5),"Bear Pin Type B",
IF(AND(C11&lt;&gt;"",D11&lt;&gt;"",E11&lt;&gt;"",F11&lt;&gt;"",F11&lt;C11,((D11-C11)/(C11-F11))&gt;3,((F11-E11)/(C11-F11))&gt;3),"Bear Pin Type C","")))))))))),"")</f>
        <v/>
      </c>
      <c r="H11" s="26">
        <f>IFERROR(IF(AND(C11&gt;F11,D11&lt;D12,D11&lt;F12,F11&gt;=C12,E11&gt;E12),"Bu-Englf",
IF(AND(C11&lt;F11,D11&lt;D12,F11&lt;=C12,E11&gt;E12,E11&gt;F12),"Be-Englf",
IF(AND(C11&lt;F11,D11&gt;D12,D11&gt;D13,E11&lt;E12,E11&gt;E13,E13&lt;E12,E12&lt;C13,E12&lt;F13,D12&gt;C13,D12&gt;F13),"Bu-Fakey1",
IF(AND(C11&gt;F11,D11&gt;D12,D11&gt;D13,E11&lt;E12,E13&lt;E11,E13&lt;E12,E12&lt;C13,E12&lt;F13,D12&gt;C13,D12&gt;F13),"Be-Fakey1",
IF(AND(C11&lt;F11,E11&lt;E12,E11&lt;E13,D11&gt;D12,D11&lt;D13,D13&gt;D12,E12&lt;C13,E12&lt;F13,D12&gt;C13,D12&gt;F13),"Bu-Fakey2",
IF(AND(C11&gt;F11,E11&lt;E12,E11&lt;E13,D11&gt;D12,D13&gt;D11,D13&gt;D12,E12&lt;C13,E12&lt;F13,D12&gt;C13,D12&gt;F13),"Be-Fakey2",
IF(AND(C11&lt;F11,D11&gt;D12,E11&lt;E12),"Bu-Insd",
IF(AND(C11&gt;F11,D11&gt;D12,E11&lt;E12),"Be-Insd","")))))))),"")</f>
        <v/>
      </c>
      <c r="I11" s="57">
        <f>IFERROR(
IF(AND(C11&lt;&gt;"",C12&lt;&gt;"",D11&lt;&gt;"",E11&lt;&gt;"",C12&lt;D11,C12&gt;E11,OR(ABS(C12-C11)&gt;70*$F$1,ABS(C12-F11)&gt;70*$F$1)),"InGap",
IF(AND(C11&lt;&gt;"",C12&lt;&gt;"",D11&lt;&gt;"",E11&lt;&gt;"",OR(AND(C12&gt;D11,C12-D11&gt;5*$F$1),AND(C12&lt;E11,E11-C12&gt;5*$F$1))),"OutGap","")),"")</f>
        <v/>
      </c>
      <c r="J11" s="93">
        <f>IFERROR(IF(P11="","",IF(AND(P11="L",Q11&lt;&gt;""),Q11,IF(AND(P11="L",Q11=""),E11-$L$1,IF(AND(P11="S",Q11&lt;&gt;""),Q11,IF(P11="S",D11+$L$1,""))))),"")</f>
        <v/>
      </c>
      <c r="K11" s="18">
        <f>IF(L11="","",-(ABS(L11-J11)*$J$1*$D$1))</f>
        <v/>
      </c>
      <c r="L11" s="94" t="n"/>
      <c r="M11" s="98">
        <f>IFERROR(IF(OR(J11="",L11="",AND(J11="",L11="")),"",
IF(AND(J11&lt;&gt;"",L11&lt;&gt;"",P11="L",R11&lt;&gt;""),R11,
IF(AND(J11&lt;&gt;"",L11&lt;&gt;"",P11="L",R11=""),(((L11-J11)*$N$1)+L11),
IF(AND(J11&lt;&gt;"",L11&lt;&gt;"",P11="S",R11&lt;&gt;""),R11,
IF(AND(J11&lt;&gt;"",L11&lt;&gt;"",P11="S",R11=""),L11-(((J11-L11)*$N$1))))))),"")</f>
        <v/>
      </c>
      <c r="N11" s="20">
        <f>IF(L11="","",ABS(L11-M11)*$J$1*$D$1)</f>
        <v/>
      </c>
      <c r="O11" s="22">
        <f>IF(L11="","",IF(L11&lt;J11,"Sell","Buy"))</f>
        <v/>
      </c>
      <c r="P11" s="49" t="n"/>
      <c r="Q11" s="96" t="n"/>
      <c r="R11" s="97" t="n"/>
      <c r="S11" s="35">
        <f>IFERROR(IF(O11="","",IF(O11="Buy",(($F$24-L11)*$J$1)*$D$1,IF(O11="sell",((L11-$F$24)*$J$1)*$D$1,""))),"")</f>
        <v/>
      </c>
    </row>
    <row r="12" spans="1:24">
      <c r="A12" s="19" t="n">
        <v>10</v>
      </c>
      <c r="B12" s="90" t="n">
        <v>43385</v>
      </c>
      <c r="C12" s="91" t="n">
        <v>1.15873</v>
      </c>
      <c r="D12" s="91" t="n">
        <v>1.16106</v>
      </c>
      <c r="E12" s="91" t="n">
        <v>1.15344</v>
      </c>
      <c r="F12" s="92" t="n">
        <v>1.15597</v>
      </c>
      <c r="G12" s="55">
        <f>IFERROR(IF(AND(C12="",D12="",E12="",F12=""),"",
IF(AND(C12&lt;&gt;"",D12&lt;&gt;"",E12&lt;&gt;"",F12&lt;&gt;"",F12=C12),"White DOJI",
IF(AND(C12&lt;&gt;"",D12&lt;&gt;"",E12&lt;&gt;"",F12&lt;&gt;"",F12&gt;C12,(ABS(C12-F12))&lt;$G$1*2),"Bull DOJI",
IF(AND(C12&lt;&gt;"",D12&lt;&gt;"",E12&lt;&gt;"",F12&lt;&gt;"",F12&lt;C12,(ABS(C12-F12))&lt;$G$1*2),"Bear DOJI",
IF(AND(C12&lt;&gt;"",D12&lt;&gt;"",E12&lt;&gt;"",F12&lt;&gt;"",F12&gt;C12,((C12-E12)/(F12-C12))&gt;3,((C12-E12)/(D12-F12))&gt;3,((D12-F12)/(F12-C12))&lt;=4.5),"Bull Pin Type A",
IF(AND(C12&lt;&gt;"",D12&lt;&gt;"",E12&lt;&gt;"",F12&lt;&gt;"",F12&gt;C12,((D12-F12)/(F12-C12))&gt;3,((D12-F12)/(C12-E12))&gt;3,((C12-E12)/(F12-C12))&lt;=4.5),"Bull Pin Type B",
IF(AND(C12&lt;&gt;"",D12&lt;&gt;"",E12&lt;&gt;"",F12&lt;&gt;"",F12&gt;C12,((D12-F12)/(F12-C12))&gt;3,((C12-E12)/(F12-C12))&gt;3),"Bull Pin Type C",
IF(AND(C12&lt;&gt;"",D12&lt;&gt;"",E12&lt;&gt;"",F12&lt;&gt;"",F12&lt;C12,((D12-C12)/(C12-F12))&gt;3,((D12-C12)/(F12-E12))&gt;3,((F12-E12)/(C12-F12))&lt;=4.5),"Bear Pin Type A",
IF(AND(C12&lt;&gt;"",D12&lt;&gt;"",E12&lt;&gt;"",F12&lt;&gt;"",F12&lt;C12,((F12-E12)/(C12-F12))&gt;3,((F12-E12)/(D12-C12))&gt;3,((D12-C12)/(C12-F12))&lt;=4.5),"Bear Pin Type B",
IF(AND(C12&lt;&gt;"",D12&lt;&gt;"",E12&lt;&gt;"",F12&lt;&gt;"",F12&lt;C12,((D12-C12)/(C12-F12))&gt;3,((F12-E12)/(C12-F12))&gt;3),"Bear Pin Type C","")))))))))),"")</f>
        <v/>
      </c>
      <c r="H12" s="26">
        <f>IFERROR(IF(AND(C12&gt;F12,D12&lt;D13,D12&lt;F13,F12&gt;=C13,E12&gt;E13),"Bu-Englf",
IF(AND(C12&lt;F12,D12&lt;D13,F12&lt;=C13,E12&gt;E13,E12&gt;F13),"Be-Englf",
IF(AND(C12&lt;F12,D12&gt;D13,D12&gt;D14,E12&lt;E13,E12&gt;E14,E14&lt;E13,E13&lt;C14,E13&lt;F14,D13&gt;C14,D13&gt;F14),"Bu-Fakey1",
IF(AND(C12&gt;F12,D12&gt;D13,D12&gt;D14,E12&lt;E13,E14&lt;E12,E14&lt;E13,E13&lt;C14,E13&lt;F14,D13&gt;C14,D13&gt;F14),"Be-Fakey1",
IF(AND(C12&lt;F12,E12&lt;E13,E12&lt;E14,D12&gt;D13,D12&lt;D14,D14&gt;D13,E13&lt;C14,E13&lt;F14,D13&gt;C14,D13&gt;F14),"Bu-Fakey2",
IF(AND(C12&gt;F12,E12&lt;E13,E12&lt;E14,D12&gt;D13,D14&gt;D12,D14&gt;D13,E13&lt;C14,E13&lt;F14,D13&gt;C14,D13&gt;F14),"Be-Fakey2",
IF(AND(C12&lt;F12,D12&gt;D13,E12&lt;E13),"Bu-Insd",
IF(AND(C12&gt;F12,D12&gt;D13,E12&lt;E13),"Be-Insd","")))))))),"")</f>
        <v/>
      </c>
      <c r="I12" s="57">
        <f>IFERROR(
IF(AND(C12&lt;&gt;"",C13&lt;&gt;"",D12&lt;&gt;"",E12&lt;&gt;"",C13&lt;D12,C13&gt;E12,OR(ABS(C13-C12)&gt;70*$F$1,ABS(C13-F12)&gt;70*$F$1)),"InGap",
IF(AND(C12&lt;&gt;"",C13&lt;&gt;"",D12&lt;&gt;"",E12&lt;&gt;"",OR(AND(C13&gt;D12,C13-D12&gt;5*$F$1),AND(C13&lt;E12,E12-C13&gt;5*$F$1))),"OutGap","")),"")</f>
        <v/>
      </c>
      <c r="J12" s="93">
        <f>IFERROR(IF(P12="","",IF(AND(P12="L",Q12&lt;&gt;""),Q12,IF(AND(P12="L",Q12=""),E12-$L$1,IF(AND(P12="S",Q12&lt;&gt;""),Q12,IF(P12="S",D12+$L$1,""))))),"")</f>
        <v/>
      </c>
      <c r="K12" s="18">
        <f>IF(L12="","",-(ABS(L12-J12)*$J$1*$D$1))</f>
        <v/>
      </c>
      <c r="L12" s="94" t="n"/>
      <c r="M12" s="98">
        <f>IFERROR(IF(OR(J12="",L12="",AND(J12="",L12="")),"",
IF(AND(J12&lt;&gt;"",L12&lt;&gt;"",P12="L",R12&lt;&gt;""),R12,
IF(AND(J12&lt;&gt;"",L12&lt;&gt;"",P12="L",R12=""),(((L12-J12)*$N$1)+L12),
IF(AND(J12&lt;&gt;"",L12&lt;&gt;"",P12="S",R12&lt;&gt;""),R12,
IF(AND(J12&lt;&gt;"",L12&lt;&gt;"",P12="S",R12=""),L12-(((J12-L12)*$N$1))))))),"")</f>
        <v/>
      </c>
      <c r="N12" s="20">
        <f>IF(L12="","",ABS(L12-M12)*$J$1*$D$1)</f>
        <v/>
      </c>
      <c r="O12" s="22">
        <f>IF(L12="","",IF(L12&lt;J12,"Sell","Buy"))</f>
        <v/>
      </c>
      <c r="P12" s="49" t="n"/>
      <c r="Q12" s="96" t="n"/>
      <c r="R12" s="97" t="n"/>
      <c r="S12" s="35">
        <f>IFERROR(IF(O12="","",IF(O12="Buy",(($F$24-L12)*$J$1)*$D$1,IF(O12="sell",((L12-$F$24)*$J$1)*$D$1,""))),"")</f>
        <v/>
      </c>
    </row>
    <row r="13" spans="1:24">
      <c r="A13" s="19" t="n">
        <v>11</v>
      </c>
      <c r="B13" s="90" t="n">
        <v>43388</v>
      </c>
      <c r="C13" s="91" t="n">
        <v>1.15404</v>
      </c>
      <c r="D13" s="91" t="n">
        <v>1.16064</v>
      </c>
      <c r="E13" s="91" t="n">
        <v>1.15397</v>
      </c>
      <c r="F13" s="92" t="n">
        <v>1.15788</v>
      </c>
      <c r="G13" s="55">
        <f>IFERROR(IF(AND(C13="",D13="",E13="",F13=""),"",
IF(AND(C13&lt;&gt;"",D13&lt;&gt;"",E13&lt;&gt;"",F13&lt;&gt;"",F13=C13),"White DOJI",
IF(AND(C13&lt;&gt;"",D13&lt;&gt;"",E13&lt;&gt;"",F13&lt;&gt;"",F13&gt;C13,(ABS(C13-F13))&lt;$G$1*2),"Bull DOJI",
IF(AND(C13&lt;&gt;"",D13&lt;&gt;"",E13&lt;&gt;"",F13&lt;&gt;"",F13&lt;C13,(ABS(C13-F13))&lt;$G$1*2),"Bear DOJI",
IF(AND(C13&lt;&gt;"",D13&lt;&gt;"",E13&lt;&gt;"",F13&lt;&gt;"",F13&gt;C13,((C13-E13)/(F13-C13))&gt;3,((C13-E13)/(D13-F13))&gt;3,((D13-F13)/(F13-C13))&lt;=4.5),"Bull Pin Type A",
IF(AND(C13&lt;&gt;"",D13&lt;&gt;"",E13&lt;&gt;"",F13&lt;&gt;"",F13&gt;C13,((D13-F13)/(F13-C13))&gt;3,((D13-F13)/(C13-E13))&gt;3,((C13-E13)/(F13-C13))&lt;=4.5),"Bull Pin Type B",
IF(AND(C13&lt;&gt;"",D13&lt;&gt;"",E13&lt;&gt;"",F13&lt;&gt;"",F13&gt;C13,((D13-F13)/(F13-C13))&gt;3,((C13-E13)/(F13-C13))&gt;3),"Bull Pin Type C",
IF(AND(C13&lt;&gt;"",D13&lt;&gt;"",E13&lt;&gt;"",F13&lt;&gt;"",F13&lt;C13,((D13-C13)/(C13-F13))&gt;3,((D13-C13)/(F13-E13))&gt;3,((F13-E13)/(C13-F13))&lt;=4.5),"Bear Pin Type A",
IF(AND(C13&lt;&gt;"",D13&lt;&gt;"",E13&lt;&gt;"",F13&lt;&gt;"",F13&lt;C13,((F13-E13)/(C13-F13))&gt;3,((F13-E13)/(D13-C13))&gt;3,((D13-C13)/(C13-F13))&lt;=4.5),"Bear Pin Type B",
IF(AND(C13&lt;&gt;"",D13&lt;&gt;"",E13&lt;&gt;"",F13&lt;&gt;"",F13&lt;C13,((D13-C13)/(C13-F13))&gt;3,((F13-E13)/(C13-F13))&gt;3),"Bear Pin Type C","")))))))))),"")</f>
        <v/>
      </c>
      <c r="H13" s="26">
        <f>IFERROR(IF(AND(C13&gt;F13,D13&lt;D14,D13&lt;F14,F13&gt;=C14,E13&gt;E14),"Bu-Englf",
IF(AND(C13&lt;F13,D13&lt;D14,F13&lt;=C14,E13&gt;E14,E13&gt;F14),"Be-Englf",
IF(AND(C13&lt;F13,D13&gt;D14,D13&gt;D15,E13&lt;E14,E13&gt;E15,E15&lt;E14,E14&lt;C15,E14&lt;F15,D14&gt;C15,D14&gt;F15),"Bu-Fakey1",
IF(AND(C13&gt;F13,D13&gt;D14,D13&gt;D15,E13&lt;E14,E15&lt;E13,E15&lt;E14,E14&lt;C15,E14&lt;F15,D14&gt;C15,D14&gt;F15),"Be-Fakey1",
IF(AND(C13&lt;F13,E13&lt;E14,E13&lt;E15,D13&gt;D14,D13&lt;D15,D15&gt;D14,E14&lt;C15,E14&lt;F15,D14&gt;C15,D14&gt;F15),"Bu-Fakey2",
IF(AND(C13&gt;F13,E13&lt;E14,E13&lt;E15,D13&gt;D14,D15&gt;D13,D15&gt;D14,E14&lt;C15,E14&lt;F15,D14&gt;C15,D14&gt;F15),"Be-Fakey2",
IF(AND(C13&lt;F13,D13&gt;D14,E13&lt;E14),"Bu-Insd",
IF(AND(C13&gt;F13,D13&gt;D14,E13&lt;E14),"Be-Insd","")))))))),"")</f>
        <v/>
      </c>
      <c r="I13" s="57">
        <f>IFERROR(
IF(AND(C13&lt;&gt;"",C14&lt;&gt;"",D13&lt;&gt;"",E13&lt;&gt;"",C14&lt;D13,C14&gt;E13,OR(ABS(C14-C13)&gt;70*$F$1,ABS(C14-F13)&gt;70*$F$1)),"InGap",
IF(AND(C13&lt;&gt;"",C14&lt;&gt;"",D13&lt;&gt;"",E13&lt;&gt;"",OR(AND(C14&gt;D13,C14-D13&gt;5*$F$1),AND(C14&lt;E13,E13-C14&gt;5*$F$1))),"OutGap","")),"")</f>
        <v/>
      </c>
      <c r="J13" s="93">
        <f>IFERROR(IF(P13="","",IF(AND(P13="L",Q13&lt;&gt;""),Q13,IF(AND(P13="L",Q13=""),E13-$L$1,IF(AND(P13="S",Q13&lt;&gt;""),Q13,IF(P13="S",D13+$L$1,""))))),"")</f>
        <v/>
      </c>
      <c r="K13" s="18">
        <f>IF(L13="","",-(ABS(L13-J13)*$J$1*$D$1))</f>
        <v/>
      </c>
      <c r="L13" s="94" t="n"/>
      <c r="M13" s="98">
        <f>IFERROR(IF(OR(J13="",L13="",AND(J13="",L13="")),"",
IF(AND(J13&lt;&gt;"",L13&lt;&gt;"",P13="L",R13&lt;&gt;""),R13,
IF(AND(J13&lt;&gt;"",L13&lt;&gt;"",P13="L",R13=""),(((L13-J13)*$N$1)+L13),
IF(AND(J13&lt;&gt;"",L13&lt;&gt;"",P13="S",R13&lt;&gt;""),R13,
IF(AND(J13&lt;&gt;"",L13&lt;&gt;"",P13="S",R13=""),L13-(((J13-L13)*$N$1))))))),"")</f>
        <v/>
      </c>
      <c r="N13" s="20">
        <f>IF(L13="","",ABS(L13-M13)*$J$1*$D$1)</f>
        <v/>
      </c>
      <c r="O13" s="22">
        <f>IF(L13="","",IF(L13&lt;J13,"Sell","Buy"))</f>
        <v/>
      </c>
      <c r="P13" s="49" t="n"/>
      <c r="Q13" s="96" t="n"/>
      <c r="R13" s="97" t="n"/>
      <c r="S13" s="35">
        <f>IFERROR(IF(O13="","",IF(O13="Buy",(($F$24-L13)*$J$1)*$D$1,IF(O13="sell",((L13-$F$24)*$J$1)*$D$1,""))),"")</f>
        <v/>
      </c>
    </row>
    <row r="14" spans="1:24">
      <c r="A14" s="19" t="n">
        <v>12</v>
      </c>
      <c r="B14" s="90" t="n">
        <v>43389</v>
      </c>
      <c r="C14" s="91" t="n">
        <v>1.15795</v>
      </c>
      <c r="D14" s="91" t="n">
        <v>1.16216</v>
      </c>
      <c r="E14" s="91" t="n">
        <v>1.15658</v>
      </c>
      <c r="F14" s="92" t="n">
        <v>1.15747</v>
      </c>
      <c r="G14" s="55">
        <f>IFERROR(IF(AND(C14="",D14="",E14="",F14=""),"",
IF(AND(C14&lt;&gt;"",D14&lt;&gt;"",E14&lt;&gt;"",F14&lt;&gt;"",F14=C14),"White DOJI",
IF(AND(C14&lt;&gt;"",D14&lt;&gt;"",E14&lt;&gt;"",F14&lt;&gt;"",F14&gt;C14,(ABS(C14-F14))&lt;$G$1*2),"Bull DOJI",
IF(AND(C14&lt;&gt;"",D14&lt;&gt;"",E14&lt;&gt;"",F14&lt;&gt;"",F14&lt;C14,(ABS(C14-F14))&lt;$G$1*2),"Bear DOJI",
IF(AND(C14&lt;&gt;"",D14&lt;&gt;"",E14&lt;&gt;"",F14&lt;&gt;"",F14&gt;C14,((C14-E14)/(F14-C14))&gt;3,((C14-E14)/(D14-F14))&gt;3,((D14-F14)/(F14-C14))&lt;=4.5),"Bull Pin Type A",
IF(AND(C14&lt;&gt;"",D14&lt;&gt;"",E14&lt;&gt;"",F14&lt;&gt;"",F14&gt;C14,((D14-F14)/(F14-C14))&gt;3,((D14-F14)/(C14-E14))&gt;3,((C14-E14)/(F14-C14))&lt;=4.5),"Bull Pin Type B",
IF(AND(C14&lt;&gt;"",D14&lt;&gt;"",E14&lt;&gt;"",F14&lt;&gt;"",F14&gt;C14,((D14-F14)/(F14-C14))&gt;3,((C14-E14)/(F14-C14))&gt;3),"Bull Pin Type C",
IF(AND(C14&lt;&gt;"",D14&lt;&gt;"",E14&lt;&gt;"",F14&lt;&gt;"",F14&lt;C14,((D14-C14)/(C14-F14))&gt;3,((D14-C14)/(F14-E14))&gt;3,((F14-E14)/(C14-F14))&lt;=4.5),"Bear Pin Type A",
IF(AND(C14&lt;&gt;"",D14&lt;&gt;"",E14&lt;&gt;"",F14&lt;&gt;"",F14&lt;C14,((F14-E14)/(C14-F14))&gt;3,((F14-E14)/(D14-C14))&gt;3,((D14-C14)/(C14-F14))&lt;=4.5),"Bear Pin Type B",
IF(AND(C14&lt;&gt;"",D14&lt;&gt;"",E14&lt;&gt;"",F14&lt;&gt;"",F14&lt;C14,((D14-C14)/(C14-F14))&gt;3,((F14-E14)/(C14-F14))&gt;3),"Bear Pin Type C","")))))))))),"")</f>
        <v/>
      </c>
      <c r="H14" s="26">
        <f>IFERROR(IF(AND(C14&gt;F14,D14&lt;D15,D14&lt;F15,F14&gt;=C15,E14&gt;E15),"Bu-Englf",
IF(AND(C14&lt;F14,D14&lt;D15,F14&lt;=C15,E14&gt;E15,E14&gt;F15),"Be-Englf",
IF(AND(C14&lt;F14,D14&gt;D15,D14&gt;D16,E14&lt;E15,E14&gt;E16,E16&lt;E15,E15&lt;C16,E15&lt;F16,D15&gt;C16,D15&gt;F16),"Bu-Fakey1",
IF(AND(C14&gt;F14,D14&gt;D15,D14&gt;D16,E14&lt;E15,E16&lt;E14,E16&lt;E15,E15&lt;C16,E15&lt;F16,D15&gt;C16,D15&gt;F16),"Be-Fakey1",
IF(AND(C14&lt;F14,E14&lt;E15,E14&lt;E16,D14&gt;D15,D14&lt;D16,D16&gt;D15,E15&lt;C16,E15&lt;F16,D15&gt;C16,D15&gt;F16),"Bu-Fakey2",
IF(AND(C14&gt;F14,E14&lt;E15,E14&lt;E16,D14&gt;D15,D16&gt;D14,D16&gt;D15,E15&lt;C16,E15&lt;F16,D15&gt;C16,D15&gt;F16),"Be-Fakey2",
IF(AND(C14&lt;F14,D14&gt;D15,E14&lt;E15),"Bu-Insd",
IF(AND(C14&gt;F14,D14&gt;D15,E14&lt;E15),"Be-Insd","")))))))),"")</f>
        <v/>
      </c>
      <c r="I14" s="57">
        <f>IFERROR(
IF(AND(C14&lt;&gt;"",C15&lt;&gt;"",D14&lt;&gt;"",E14&lt;&gt;"",C15&lt;D14,C15&gt;E14,OR(ABS(C15-C14)&gt;70*$F$1,ABS(C15-F14)&gt;70*$F$1)),"InGap",
IF(AND(C14&lt;&gt;"",C15&lt;&gt;"",D14&lt;&gt;"",E14&lt;&gt;"",OR(AND(C15&gt;D14,C15-D14&gt;5*$F$1),AND(C15&lt;E14,E14-C15&gt;5*$F$1))),"OutGap","")),"")</f>
        <v/>
      </c>
      <c r="J14" s="93">
        <f>IFERROR(IF(P14="","",IF(AND(P14="L",Q14&lt;&gt;""),Q14,IF(AND(P14="L",Q14=""),E14-$L$1,IF(AND(P14="S",Q14&lt;&gt;""),Q14,IF(P14="S",D14+$L$1,""))))),"")</f>
        <v/>
      </c>
      <c r="K14" s="18">
        <f>IF(L14="","",-(ABS(L14-J14)*$J$1*$D$1))</f>
        <v/>
      </c>
      <c r="L14" s="94" t="n"/>
      <c r="M14" s="98">
        <f>IFERROR(IF(OR(J14="",L14="",AND(J14="",L14="")),"",
IF(AND(J14&lt;&gt;"",L14&lt;&gt;"",P14="L",R14&lt;&gt;""),R14,
IF(AND(J14&lt;&gt;"",L14&lt;&gt;"",P14="L",R14=""),(((L14-J14)*$N$1)+L14),
IF(AND(J14&lt;&gt;"",L14&lt;&gt;"",P14="S",R14&lt;&gt;""),R14,
IF(AND(J14&lt;&gt;"",L14&lt;&gt;"",P14="S",R14=""),L14-(((J14-L14)*$N$1))))))),"")</f>
        <v/>
      </c>
      <c r="N14" s="20">
        <f>IF(L14="","",ABS(L14-M14)*$J$1*$D$1)</f>
        <v/>
      </c>
      <c r="O14" s="22">
        <f>IF(L14="","",IF(L14&lt;J14,"Sell","Buy"))</f>
        <v/>
      </c>
      <c r="P14" s="49" t="n"/>
      <c r="Q14" s="96" t="n"/>
      <c r="R14" s="97" t="n"/>
      <c r="S14" s="35">
        <f>IFERROR(IF(O14="","",IF(O14="Buy",(($F$24-L14)*$J$1)*$D$1,IF(O14="sell",((L14-$F$24)*$J$1)*$D$1,""))),"")</f>
        <v/>
      </c>
    </row>
    <row r="15" spans="1:24">
      <c r="A15" s="19" t="n">
        <v>13</v>
      </c>
      <c r="B15" s="90" t="n">
        <v>43390</v>
      </c>
      <c r="C15" s="91" t="n">
        <v>1.15734</v>
      </c>
      <c r="D15" s="91" t="n">
        <v>1.15802</v>
      </c>
      <c r="E15" s="91" t="n">
        <v>1.14962</v>
      </c>
      <c r="F15" s="92" t="n">
        <v>1.15</v>
      </c>
      <c r="G15" s="55">
        <f>IFERROR(IF(AND(C15="",D15="",E15="",F15=""),"",
IF(AND(C15&lt;&gt;"",D15&lt;&gt;"",E15&lt;&gt;"",F15&lt;&gt;"",F15=C15),"White DOJI",
IF(AND(C15&lt;&gt;"",D15&lt;&gt;"",E15&lt;&gt;"",F15&lt;&gt;"",F15&gt;C15,(ABS(C15-F15))&lt;$G$1*2),"Bull DOJI",
IF(AND(C15&lt;&gt;"",D15&lt;&gt;"",E15&lt;&gt;"",F15&lt;&gt;"",F15&lt;C15,(ABS(C15-F15))&lt;$G$1*2),"Bear DOJI",
IF(AND(C15&lt;&gt;"",D15&lt;&gt;"",E15&lt;&gt;"",F15&lt;&gt;"",F15&gt;C15,((C15-E15)/(F15-C15))&gt;3,((C15-E15)/(D15-F15))&gt;3,((D15-F15)/(F15-C15))&lt;=4.5),"Bull Pin Type A",
IF(AND(C15&lt;&gt;"",D15&lt;&gt;"",E15&lt;&gt;"",F15&lt;&gt;"",F15&gt;C15,((D15-F15)/(F15-C15))&gt;3,((D15-F15)/(C15-E15))&gt;3,((C15-E15)/(F15-C15))&lt;=4.5),"Bull Pin Type B",
IF(AND(C15&lt;&gt;"",D15&lt;&gt;"",E15&lt;&gt;"",F15&lt;&gt;"",F15&gt;C15,((D15-F15)/(F15-C15))&gt;3,((C15-E15)/(F15-C15))&gt;3),"Bull Pin Type C",
IF(AND(C15&lt;&gt;"",D15&lt;&gt;"",E15&lt;&gt;"",F15&lt;&gt;"",F15&lt;C15,((D15-C15)/(C15-F15))&gt;3,((D15-C15)/(F15-E15))&gt;3,((F15-E15)/(C15-F15))&lt;=4.5),"Bear Pin Type A",
IF(AND(C15&lt;&gt;"",D15&lt;&gt;"",E15&lt;&gt;"",F15&lt;&gt;"",F15&lt;C15,((F15-E15)/(C15-F15))&gt;3,((F15-E15)/(D15-C15))&gt;3,((D15-C15)/(C15-F15))&lt;=4.5),"Bear Pin Type B",
IF(AND(C15&lt;&gt;"",D15&lt;&gt;"",E15&lt;&gt;"",F15&lt;&gt;"",F15&lt;C15,((D15-C15)/(C15-F15))&gt;3,((F15-E15)/(C15-F15))&gt;3),"Bear Pin Type C","")))))))))),"")</f>
        <v/>
      </c>
      <c r="H15" s="26">
        <f>IFERROR(IF(AND(C15&gt;F15,D15&lt;D16,D15&lt;F16,F15&gt;=C16,E15&gt;E16),"Bu-Englf",
IF(AND(C15&lt;F15,D15&lt;D16,F15&lt;=C16,E15&gt;E16,E15&gt;F16),"Be-Englf",
IF(AND(C15&lt;F15,D15&gt;D16,D15&gt;D17,E15&lt;E16,E15&gt;E17,E17&lt;E16,E16&lt;C17,E16&lt;F17,D16&gt;C17,D16&gt;F17),"Bu-Fakey1",
IF(AND(C15&gt;F15,D15&gt;D16,D15&gt;D17,E15&lt;E16,E17&lt;E15,E17&lt;E16,E16&lt;C17,E16&lt;F17,D16&gt;C17,D16&gt;F17),"Be-Fakey1",
IF(AND(C15&lt;F15,E15&lt;E16,E15&lt;E17,D15&gt;D16,D15&lt;D17,D17&gt;D16,E16&lt;C17,E16&lt;F17,D16&gt;C17,D16&gt;F17),"Bu-Fakey2",
IF(AND(C15&gt;F15,E15&lt;E16,E15&lt;E17,D15&gt;D16,D17&gt;D15,D17&gt;D16,E16&lt;C17,E16&lt;F17,D16&gt;C17,D16&gt;F17),"Be-Fakey2",
IF(AND(C15&lt;F15,D15&gt;D16,E15&lt;E16),"Bu-Insd",
IF(AND(C15&gt;F15,D15&gt;D16,E15&lt;E16),"Be-Insd","")))))))),"")</f>
        <v/>
      </c>
      <c r="I15" s="57">
        <f>IFERROR(
IF(AND(C15&lt;&gt;"",C16&lt;&gt;"",D15&lt;&gt;"",E15&lt;&gt;"",C16&lt;D15,C16&gt;E15,OR(ABS(C16-C15)&gt;70*$F$1,ABS(C16-F15)&gt;70*$F$1)),"InGap",
IF(AND(C15&lt;&gt;"",C16&lt;&gt;"",D15&lt;&gt;"",E15&lt;&gt;"",OR(AND(C16&gt;D15,C16-D15&gt;5*$F$1),AND(C16&lt;E15,E15-C16&gt;5*$F$1))),"OutGap","")),"")</f>
        <v/>
      </c>
      <c r="J15" s="93">
        <f>IFERROR(IF(P15="","",IF(AND(P15="L",Q15&lt;&gt;""),Q15,IF(AND(P15="L",Q15=""),E15-$L$1,IF(AND(P15="S",Q15&lt;&gt;""),Q15,IF(P15="S",D15+$L$1,""))))),"")</f>
        <v/>
      </c>
      <c r="K15" s="18">
        <f>IF(L15="","",-(ABS(L15-J15)*$J$1*$D$1))</f>
        <v/>
      </c>
      <c r="L15" s="94" t="n"/>
      <c r="M15" s="98">
        <f>IFERROR(IF(OR(J15="",L15="",AND(J15="",L15="")),"",
IF(AND(J15&lt;&gt;"",L15&lt;&gt;"",P15="L",R15&lt;&gt;""),R15,
IF(AND(J15&lt;&gt;"",L15&lt;&gt;"",P15="L",R15=""),(((L15-J15)*$N$1)+L15),
IF(AND(J15&lt;&gt;"",L15&lt;&gt;"",P15="S",R15&lt;&gt;""),R15,
IF(AND(J15&lt;&gt;"",L15&lt;&gt;"",P15="S",R15=""),L15-(((J15-L15)*$N$1))))))),"")</f>
        <v/>
      </c>
      <c r="N15" s="20">
        <f>IF(L15="","",ABS(L15-M15)*$J$1*$D$1)</f>
        <v/>
      </c>
      <c r="O15" s="22">
        <f>IF(L15="","",IF(L15&lt;J15,"Sell","Buy"))</f>
        <v/>
      </c>
      <c r="P15" s="49" t="n"/>
      <c r="Q15" s="96" t="n"/>
      <c r="R15" s="97" t="n"/>
      <c r="S15" s="35">
        <f>IFERROR(IF(O15="","",IF(O15="Buy",(($F$24-L15)*$J$1)*$D$1,IF(O15="sell",((L15-$F$24)*$J$1)*$D$1,""))),"")</f>
        <v/>
      </c>
    </row>
    <row r="16" spans="1:24">
      <c r="A16" s="19" t="n">
        <v>14</v>
      </c>
      <c r="B16" s="90" t="n">
        <v>43391</v>
      </c>
      <c r="C16" s="91" t="n">
        <v>1.15014</v>
      </c>
      <c r="D16" s="91" t="n">
        <v>1.15272</v>
      </c>
      <c r="E16" s="91" t="n">
        <v>1.14496</v>
      </c>
      <c r="F16" s="92" t="n">
        <v>1.14526</v>
      </c>
      <c r="G16" s="55">
        <f>IFERROR(IF(AND(C16="",D16="",E16="",F16=""),"",
IF(AND(C16&lt;&gt;"",D16&lt;&gt;"",E16&lt;&gt;"",F16&lt;&gt;"",F16=C16),"White DOJI",
IF(AND(C16&lt;&gt;"",D16&lt;&gt;"",E16&lt;&gt;"",F16&lt;&gt;"",F16&gt;C16,(ABS(C16-F16))&lt;$G$1*2),"Bull DOJI",
IF(AND(C16&lt;&gt;"",D16&lt;&gt;"",E16&lt;&gt;"",F16&lt;&gt;"",F16&lt;C16,(ABS(C16-F16))&lt;$G$1*2),"Bear DOJI",
IF(AND(C16&lt;&gt;"",D16&lt;&gt;"",E16&lt;&gt;"",F16&lt;&gt;"",F16&gt;C16,((C16-E16)/(F16-C16))&gt;3,((C16-E16)/(D16-F16))&gt;3,((D16-F16)/(F16-C16))&lt;=4.5),"Bull Pin Type A",
IF(AND(C16&lt;&gt;"",D16&lt;&gt;"",E16&lt;&gt;"",F16&lt;&gt;"",F16&gt;C16,((D16-F16)/(F16-C16))&gt;3,((D16-F16)/(C16-E16))&gt;3,((C16-E16)/(F16-C16))&lt;=4.5),"Bull Pin Type B",
IF(AND(C16&lt;&gt;"",D16&lt;&gt;"",E16&lt;&gt;"",F16&lt;&gt;"",F16&gt;C16,((D16-F16)/(F16-C16))&gt;3,((C16-E16)/(F16-C16))&gt;3),"Bull Pin Type C",
IF(AND(C16&lt;&gt;"",D16&lt;&gt;"",E16&lt;&gt;"",F16&lt;&gt;"",F16&lt;C16,((D16-C16)/(C16-F16))&gt;3,((D16-C16)/(F16-E16))&gt;3,((F16-E16)/(C16-F16))&lt;=4.5),"Bear Pin Type A",
IF(AND(C16&lt;&gt;"",D16&lt;&gt;"",E16&lt;&gt;"",F16&lt;&gt;"",F16&lt;C16,((F16-E16)/(C16-F16))&gt;3,((F16-E16)/(D16-C16))&gt;3,((D16-C16)/(C16-F16))&lt;=4.5),"Bear Pin Type B",
IF(AND(C16&lt;&gt;"",D16&lt;&gt;"",E16&lt;&gt;"",F16&lt;&gt;"",F16&lt;C16,((D16-C16)/(C16-F16))&gt;3,((F16-E16)/(C16-F16))&gt;3),"Bear Pin Type C","")))))))))),"")</f>
        <v/>
      </c>
      <c r="H16" s="26">
        <f>IFERROR(IF(AND(C16&gt;F16,D16&lt;D17,D16&lt;F17,F16&gt;=C17,E16&gt;E17),"Bu-Englf",
IF(AND(C16&lt;F16,D16&lt;D17,F16&lt;=C17,E16&gt;E17,E16&gt;F17),"Be-Englf",
IF(AND(C16&lt;F16,D16&gt;D17,D16&gt;D18,E16&lt;E17,E16&gt;E18,E18&lt;E17,E17&lt;C18,E17&lt;F18,D17&gt;C18,D17&gt;F18),"Bu-Fakey1",
IF(AND(C16&gt;F16,D16&gt;D17,D16&gt;D18,E16&lt;E17,E18&lt;E16,E18&lt;E17,E17&lt;C18,E17&lt;F18,D17&gt;C18,D17&gt;F18),"Be-Fakey1",
IF(AND(C16&lt;F16,E16&lt;E17,E16&lt;E18,D16&gt;D17,D16&lt;D18,D18&gt;D17,E17&lt;C18,E17&lt;F18,D17&gt;C18,D17&gt;F18),"Bu-Fakey2",
IF(AND(C16&gt;F16,E16&lt;E17,E16&lt;E18,D16&gt;D17,D18&gt;D16,D18&gt;D17,E17&lt;C18,E17&lt;F18,D17&gt;C18,D17&gt;F18),"Be-Fakey2",
IF(AND(C16&lt;F16,D16&gt;D17,E16&lt;E17),"Bu-Insd",
IF(AND(C16&gt;F16,D16&gt;D17,E16&lt;E17),"Be-Insd","")))))))),"")</f>
        <v/>
      </c>
      <c r="I16" s="57">
        <f>IFERROR(
IF(AND(C16&lt;&gt;"",C17&lt;&gt;"",D16&lt;&gt;"",E16&lt;&gt;"",C17&lt;D16,C17&gt;E16,OR(ABS(C17-C16)&gt;70*$F$1,ABS(C17-F16)&gt;70*$F$1)),"InGap",
IF(AND(C16&lt;&gt;"",C17&lt;&gt;"",D16&lt;&gt;"",E16&lt;&gt;"",OR(AND(C17&gt;D16,C17-D16&gt;5*$F$1),AND(C17&lt;E16,E16-C17&gt;5*$F$1))),"OutGap","")),"")</f>
        <v/>
      </c>
      <c r="J16" s="93">
        <f>IFERROR(IF(P16="","",IF(AND(P16="L",Q16&lt;&gt;""),Q16,IF(AND(P16="L",Q16=""),E16-$L$1,IF(AND(P16="S",Q16&lt;&gt;""),Q16,IF(P16="S",D16+$L$1,""))))),"")</f>
        <v/>
      </c>
      <c r="K16" s="18">
        <f>IF(L16="","",-(ABS(L16-J16)*$J$1*$D$1))</f>
        <v/>
      </c>
      <c r="L16" s="94" t="n"/>
      <c r="M16" s="98">
        <f>IFERROR(IF(OR(J16="",L16="",AND(J16="",L16="")),"",
IF(AND(J16&lt;&gt;"",L16&lt;&gt;"",P16="L",R16&lt;&gt;""),R16,
IF(AND(J16&lt;&gt;"",L16&lt;&gt;"",P16="L",R16=""),(((L16-J16)*$N$1)+L16),
IF(AND(J16&lt;&gt;"",L16&lt;&gt;"",P16="S",R16&lt;&gt;""),R16,
IF(AND(J16&lt;&gt;"",L16&lt;&gt;"",P16="S",R16=""),L16-(((J16-L16)*$N$1))))))),"")</f>
        <v/>
      </c>
      <c r="N16" s="20">
        <f>IF(L16="","",ABS(L16-M16)*$J$1*$D$1)</f>
        <v/>
      </c>
      <c r="O16" s="22">
        <f>IF(L16="","",IF(L16&lt;J16,"Sell","Buy"))</f>
        <v/>
      </c>
      <c r="P16" s="49" t="n"/>
      <c r="Q16" s="96" t="n"/>
      <c r="R16" s="97" t="n"/>
      <c r="S16" s="35">
        <f>IFERROR(IF(O16="","",IF(O16="Buy",(($F$24-L16)*$J$1)*$D$1,IF(O16="sell",((L16-$F$24)*$J$1)*$D$1,""))),"")</f>
        <v/>
      </c>
    </row>
    <row r="17" spans="1:24">
      <c r="A17" s="19" t="n">
        <v>15</v>
      </c>
      <c r="B17" s="90" t="n">
        <v>43392</v>
      </c>
      <c r="C17" s="91" t="n">
        <v>1.14538</v>
      </c>
      <c r="D17" s="91" t="n">
        <v>1.15348</v>
      </c>
      <c r="E17" s="91" t="n">
        <v>1.14332</v>
      </c>
      <c r="F17" s="92" t="n">
        <v>1.15142</v>
      </c>
      <c r="G17" s="55">
        <f>IFERROR(IF(AND(C17="",D17="",E17="",F17=""),"",
IF(AND(C17&lt;&gt;"",D17&lt;&gt;"",E17&lt;&gt;"",F17&lt;&gt;"",F17=C17),"White DOJI",
IF(AND(C17&lt;&gt;"",D17&lt;&gt;"",E17&lt;&gt;"",F17&lt;&gt;"",F17&gt;C17,(ABS(C17-F17))&lt;$G$1*2),"Bull DOJI",
IF(AND(C17&lt;&gt;"",D17&lt;&gt;"",E17&lt;&gt;"",F17&lt;&gt;"",F17&lt;C17,(ABS(C17-F17))&lt;$G$1*2),"Bear DOJI",
IF(AND(C17&lt;&gt;"",D17&lt;&gt;"",E17&lt;&gt;"",F17&lt;&gt;"",F17&gt;C17,((C17-E17)/(F17-C17))&gt;3,((C17-E17)/(D17-F17))&gt;3,((D17-F17)/(F17-C17))&lt;=4.5),"Bull Pin Type A",
IF(AND(C17&lt;&gt;"",D17&lt;&gt;"",E17&lt;&gt;"",F17&lt;&gt;"",F17&gt;C17,((D17-F17)/(F17-C17))&gt;3,((D17-F17)/(C17-E17))&gt;3,((C17-E17)/(F17-C17))&lt;=4.5),"Bull Pin Type B",
IF(AND(C17&lt;&gt;"",D17&lt;&gt;"",E17&lt;&gt;"",F17&lt;&gt;"",F17&gt;C17,((D17-F17)/(F17-C17))&gt;3,((C17-E17)/(F17-C17))&gt;3),"Bull Pin Type C",
IF(AND(C17&lt;&gt;"",D17&lt;&gt;"",E17&lt;&gt;"",F17&lt;&gt;"",F17&lt;C17,((D17-C17)/(C17-F17))&gt;3,((D17-C17)/(F17-E17))&gt;3,((F17-E17)/(C17-F17))&lt;=4.5),"Bear Pin Type A",
IF(AND(C17&lt;&gt;"",D17&lt;&gt;"",E17&lt;&gt;"",F17&lt;&gt;"",F17&lt;C17,((F17-E17)/(C17-F17))&gt;3,((F17-E17)/(D17-C17))&gt;3,((D17-C17)/(C17-F17))&lt;=4.5),"Bear Pin Type B",
IF(AND(C17&lt;&gt;"",D17&lt;&gt;"",E17&lt;&gt;"",F17&lt;&gt;"",F17&lt;C17,((D17-C17)/(C17-F17))&gt;3,((F17-E17)/(C17-F17))&gt;3),"Bear Pin Type C","")))))))))),"")</f>
        <v/>
      </c>
      <c r="H17" s="26">
        <f>IFERROR(IF(AND(C17&gt;F17,D17&lt;D18,D17&lt;F18,F17&gt;=C18,E17&gt;E18),"Bu-Englf",
IF(AND(C17&lt;F17,D17&lt;D18,F17&lt;=C18,E17&gt;E18,E17&gt;F18),"Be-Englf",
IF(AND(C17&lt;F17,D17&gt;D18,D17&gt;D19,E17&lt;E18,E17&gt;E19,E19&lt;E18,E18&lt;C19,E18&lt;F19,D18&gt;C19,D18&gt;F19),"Bu-Fakey1",
IF(AND(C17&gt;F17,D17&gt;D18,D17&gt;D19,E17&lt;E18,E19&lt;E17,E19&lt;E18,E18&lt;C19,E18&lt;F19,D18&gt;C19,D18&gt;F19),"Be-Fakey1",
IF(AND(C17&lt;F17,E17&lt;E18,E17&lt;E19,D17&gt;D18,D17&lt;D19,D19&gt;D18,E18&lt;C19,E18&lt;F19,D18&gt;C19,D18&gt;F19),"Bu-Fakey2",
IF(AND(C17&gt;F17,E17&lt;E18,E17&lt;E19,D17&gt;D18,D19&gt;D17,D19&gt;D18,E18&lt;C19,E18&lt;F19,D18&gt;C19,D18&gt;F19),"Be-Fakey2",
IF(AND(C17&lt;F17,D17&gt;D18,E17&lt;E18),"Bu-Insd",
IF(AND(C17&gt;F17,D17&gt;D18,E17&lt;E18),"Be-Insd","")))))))),"")</f>
        <v/>
      </c>
      <c r="I17" s="57">
        <f>IFERROR(
IF(AND(C17&lt;&gt;"",C18&lt;&gt;"",D17&lt;&gt;"",E17&lt;&gt;"",C18&lt;D17,C18&gt;E17,OR(ABS(C18-C17)&gt;70*$F$1,ABS(C18-F17)&gt;70*$F$1)),"InGap",
IF(AND(C17&lt;&gt;"",C18&lt;&gt;"",D17&lt;&gt;"",E17&lt;&gt;"",OR(AND(C18&gt;D17,C18-D17&gt;5*$F$1),AND(C18&lt;E17,E17-C18&gt;5*$F$1))),"OutGap","")),"")</f>
        <v/>
      </c>
      <c r="J17" s="93">
        <f>IFERROR(IF(P17="","",IF(AND(P17="L",Q17&lt;&gt;""),Q17,IF(AND(P17="L",Q17=""),E17-$L$1,IF(AND(P17="S",Q17&lt;&gt;""),Q17,IF(P17="S",D17+$L$1,""))))),"")</f>
        <v/>
      </c>
      <c r="K17" s="18">
        <f>IF(L17="","",-(ABS(L17-J17)*$J$1*$D$1))</f>
        <v/>
      </c>
      <c r="L17" s="94" t="n"/>
      <c r="M17" s="98">
        <f>IFERROR(IF(OR(J17="",L17="",AND(J17="",L17="")),"",
IF(AND(J17&lt;&gt;"",L17&lt;&gt;"",P17="L",R17&lt;&gt;""),R17,
IF(AND(J17&lt;&gt;"",L17&lt;&gt;"",P17="L",R17=""),(((L17-J17)*$N$1)+L17),
IF(AND(J17&lt;&gt;"",L17&lt;&gt;"",P17="S",R17&lt;&gt;""),R17,
IF(AND(J17&lt;&gt;"",L17&lt;&gt;"",P17="S",R17=""),L17-(((J17-L17)*$N$1))))))),"")</f>
        <v/>
      </c>
      <c r="N17" s="20">
        <f>IF(L17="","",ABS(L17-M17)*$J$1*$D$1)</f>
        <v/>
      </c>
      <c r="O17" s="22">
        <f>IF(L17="","",IF(L17&lt;J17,"Sell","Buy"))</f>
        <v/>
      </c>
      <c r="P17" s="49" t="n"/>
      <c r="Q17" s="96" t="n"/>
      <c r="R17" s="97" t="n"/>
      <c r="S17" s="35">
        <f>IFERROR(IF(O17="","",IF(O17="Buy",(($F$24-L17)*$J$1)*$D$1,IF(O17="sell",((L17-$F$24)*$J$1)*$D$1,""))),"")</f>
        <v/>
      </c>
    </row>
    <row r="18" spans="1:24">
      <c r="A18" s="19" t="n">
        <v>16</v>
      </c>
      <c r="B18" s="90" t="n">
        <v>43395</v>
      </c>
      <c r="C18" s="91" t="n">
        <v>1.15164</v>
      </c>
      <c r="D18" s="91" t="n">
        <v>1.15503</v>
      </c>
      <c r="E18" s="91" t="n">
        <v>1.14558</v>
      </c>
      <c r="F18" s="92" t="n">
        <v>1.14647</v>
      </c>
      <c r="G18" s="55">
        <f>IFERROR(IF(AND(C18="",D18="",E18="",F18=""),"",
IF(AND(C18&lt;&gt;"",D18&lt;&gt;"",E18&lt;&gt;"",F18&lt;&gt;"",F18=C18),"White DOJI",
IF(AND(C18&lt;&gt;"",D18&lt;&gt;"",E18&lt;&gt;"",F18&lt;&gt;"",F18&gt;C18,(ABS(C18-F18))&lt;$G$1*2),"Bull DOJI",
IF(AND(C18&lt;&gt;"",D18&lt;&gt;"",E18&lt;&gt;"",F18&lt;&gt;"",F18&lt;C18,(ABS(C18-F18))&lt;$G$1*2),"Bear DOJI",
IF(AND(C18&lt;&gt;"",D18&lt;&gt;"",E18&lt;&gt;"",F18&lt;&gt;"",F18&gt;C18,((C18-E18)/(F18-C18))&gt;3,((C18-E18)/(D18-F18))&gt;3,((D18-F18)/(F18-C18))&lt;=4.5),"Bull Pin Type A",
IF(AND(C18&lt;&gt;"",D18&lt;&gt;"",E18&lt;&gt;"",F18&lt;&gt;"",F18&gt;C18,((D18-F18)/(F18-C18))&gt;3,((D18-F18)/(C18-E18))&gt;3,((C18-E18)/(F18-C18))&lt;=4.5),"Bull Pin Type B",
IF(AND(C18&lt;&gt;"",D18&lt;&gt;"",E18&lt;&gt;"",F18&lt;&gt;"",F18&gt;C18,((D18-F18)/(F18-C18))&gt;3,((C18-E18)/(F18-C18))&gt;3),"Bull Pin Type C",
IF(AND(C18&lt;&gt;"",D18&lt;&gt;"",E18&lt;&gt;"",F18&lt;&gt;"",F18&lt;C18,((D18-C18)/(C18-F18))&gt;3,((D18-C18)/(F18-E18))&gt;3,((F18-E18)/(C18-F18))&lt;=4.5),"Bear Pin Type A",
IF(AND(C18&lt;&gt;"",D18&lt;&gt;"",E18&lt;&gt;"",F18&lt;&gt;"",F18&lt;C18,((F18-E18)/(C18-F18))&gt;3,((F18-E18)/(D18-C18))&gt;3,((D18-C18)/(C18-F18))&lt;=4.5),"Bear Pin Type B",
IF(AND(C18&lt;&gt;"",D18&lt;&gt;"",E18&lt;&gt;"",F18&lt;&gt;"",F18&lt;C18,((D18-C18)/(C18-F18))&gt;3,((F18-E18)/(C18-F18))&gt;3),"Bear Pin Type C","")))))))))),"")</f>
        <v/>
      </c>
      <c r="H18" s="26">
        <f>IFERROR(IF(AND(C18&gt;F18,D18&lt;D19,D18&lt;F19,F18&gt;=C19,E18&gt;E19),"Bu-Englf",
IF(AND(C18&lt;F18,D18&lt;D19,F18&lt;=C19,E18&gt;E19,E18&gt;F19),"Be-Englf",
IF(AND(C18&lt;F18,D18&gt;D19,D18&gt;D20,E18&lt;E19,E18&gt;E20,E20&lt;E19,E19&lt;C20,E19&lt;F20,D19&gt;C20,D19&gt;F20),"Bu-Fakey1",
IF(AND(C18&gt;F18,D18&gt;D19,D18&gt;D20,E18&lt;E19,E20&lt;E18,E20&lt;E19,E19&lt;C20,E19&lt;F20,D19&gt;C20,D19&gt;F20),"Be-Fakey1",
IF(AND(C18&lt;F18,E18&lt;E19,E18&lt;E20,D18&gt;D19,D18&lt;D20,D20&gt;D19,E19&lt;C20,E19&lt;F20,D19&gt;C20,D19&gt;F20),"Bu-Fakey2",
IF(AND(C18&gt;F18,E18&lt;E19,E18&lt;E20,D18&gt;D19,D20&gt;D18,D20&gt;D19,E19&lt;C20,E19&lt;F20,D19&gt;C20,D19&gt;F20),"Be-Fakey2",
IF(AND(C18&lt;F18,D18&gt;D19,E18&lt;E19),"Bu-Insd",
IF(AND(C18&gt;F18,D18&gt;D19,E18&lt;E19),"Be-Insd","")))))))),"")</f>
        <v/>
      </c>
      <c r="I18" s="57">
        <f>IFERROR(
IF(AND(C18&lt;&gt;"",C19&lt;&gt;"",D18&lt;&gt;"",E18&lt;&gt;"",C19&lt;D18,C19&gt;E18,OR(ABS(C19-C18)&gt;70*$F$1,ABS(C19-F18)&gt;70*$F$1)),"InGap",
IF(AND(C18&lt;&gt;"",C19&lt;&gt;"",D18&lt;&gt;"",E18&lt;&gt;"",OR(AND(C19&gt;D18,C19-D18&gt;5*$F$1),AND(C19&lt;E18,E18-C19&gt;5*$F$1))),"OutGap","")),"")</f>
        <v/>
      </c>
      <c r="J18" s="93">
        <f>IFERROR(IF(P18="","",IF(AND(P18="L",Q18&lt;&gt;""),Q18,IF(AND(P18="L",Q18=""),E18-$L$1,IF(AND(P18="S",Q18&lt;&gt;""),Q18,IF(P18="S",D18+$L$1,""))))),"")</f>
        <v/>
      </c>
      <c r="K18" s="18">
        <f>IF(L18="","",-(ABS(L18-J18)*$J$1*$D$1))</f>
        <v/>
      </c>
      <c r="L18" s="94" t="n"/>
      <c r="M18" s="98">
        <f>IFERROR(IF(OR(J18="",L18="",AND(J18="",L18="")),"",
IF(AND(J18&lt;&gt;"",L18&lt;&gt;"",P18="L",R18&lt;&gt;""),R18,
IF(AND(J18&lt;&gt;"",L18&lt;&gt;"",P18="L",R18=""),(((L18-J18)*$N$1)+L18),
IF(AND(J18&lt;&gt;"",L18&lt;&gt;"",P18="S",R18&lt;&gt;""),R18,
IF(AND(J18&lt;&gt;"",L18&lt;&gt;"",P18="S",R18=""),L18-(((J18-L18)*$N$1))))))),"")</f>
        <v/>
      </c>
      <c r="N18" s="20">
        <f>IF(L18="","",ABS(L18-M18)*$J$1*$D$1)</f>
        <v/>
      </c>
      <c r="O18" s="22">
        <f>IF(L18="","",IF(L18&lt;J18,"Sell","Buy"))</f>
        <v/>
      </c>
      <c r="P18" s="49" t="n"/>
      <c r="Q18" s="96" t="n"/>
      <c r="R18" s="97" t="n"/>
      <c r="S18" s="35">
        <f>IFERROR(IF(O18="","",IF(O18="Buy",(($F$24-L18)*$J$1)*$D$1,IF(O18="sell",((L18-$F$24)*$J$1)*$D$1,""))),"")</f>
        <v/>
      </c>
    </row>
    <row r="19" spans="1:24">
      <c r="A19" s="19" t="n">
        <v>17</v>
      </c>
      <c r="B19" s="90" t="n">
        <v>43396</v>
      </c>
      <c r="C19" s="91" t="n">
        <v>1.14647</v>
      </c>
      <c r="D19" s="91" t="n">
        <v>1.14898</v>
      </c>
      <c r="E19" s="91" t="n">
        <v>1.14396</v>
      </c>
      <c r="F19" s="92" t="n">
        <v>1.14721</v>
      </c>
      <c r="G19" s="55">
        <f>IFERROR(IF(AND(C19="",D19="",E19="",F19=""),"",
IF(AND(C19&lt;&gt;"",D19&lt;&gt;"",E19&lt;&gt;"",F19&lt;&gt;"",F19=C19),"White DOJI",
IF(AND(C19&lt;&gt;"",D19&lt;&gt;"",E19&lt;&gt;"",F19&lt;&gt;"",F19&gt;C19,(ABS(C19-F19))&lt;$G$1*2),"Bull DOJI",
IF(AND(C19&lt;&gt;"",D19&lt;&gt;"",E19&lt;&gt;"",F19&lt;&gt;"",F19&lt;C19,(ABS(C19-F19))&lt;$G$1*2),"Bear DOJI",
IF(AND(C19&lt;&gt;"",D19&lt;&gt;"",E19&lt;&gt;"",F19&lt;&gt;"",F19&gt;C19,((C19-E19)/(F19-C19))&gt;3,((C19-E19)/(D19-F19))&gt;3,((D19-F19)/(F19-C19))&lt;=4.5),"Bull Pin Type A",
IF(AND(C19&lt;&gt;"",D19&lt;&gt;"",E19&lt;&gt;"",F19&lt;&gt;"",F19&gt;C19,((D19-F19)/(F19-C19))&gt;3,((D19-F19)/(C19-E19))&gt;3,((C19-E19)/(F19-C19))&lt;=4.5),"Bull Pin Type B",
IF(AND(C19&lt;&gt;"",D19&lt;&gt;"",E19&lt;&gt;"",F19&lt;&gt;"",F19&gt;C19,((D19-F19)/(F19-C19))&gt;3,((C19-E19)/(F19-C19))&gt;3),"Bull Pin Type C",
IF(AND(C19&lt;&gt;"",D19&lt;&gt;"",E19&lt;&gt;"",F19&lt;&gt;"",F19&lt;C19,((D19-C19)/(C19-F19))&gt;3,((D19-C19)/(F19-E19))&gt;3,((F19-E19)/(C19-F19))&lt;=4.5),"Bear Pin Type A",
IF(AND(C19&lt;&gt;"",D19&lt;&gt;"",E19&lt;&gt;"",F19&lt;&gt;"",F19&lt;C19,((F19-E19)/(C19-F19))&gt;3,((F19-E19)/(D19-C19))&gt;3,((D19-C19)/(C19-F19))&lt;=4.5),"Bear Pin Type B",
IF(AND(C19&lt;&gt;"",D19&lt;&gt;"",E19&lt;&gt;"",F19&lt;&gt;"",F19&lt;C19,((D19-C19)/(C19-F19))&gt;3,((F19-E19)/(C19-F19))&gt;3),"Bear Pin Type C","")))))))))),"")</f>
        <v/>
      </c>
      <c r="H19" s="26">
        <f>IFERROR(IF(AND(C19&gt;F19,D19&lt;D20,D19&lt;F20,F19&gt;=C20,E19&gt;E20),"Bu-Englf",
IF(AND(C19&lt;F19,D19&lt;D20,F19&lt;=C20,E19&gt;E20,E19&gt;F20),"Be-Englf",
IF(AND(C19&lt;F19,D19&gt;D20,D19&gt;D21,E19&lt;E20,E19&gt;E21,E21&lt;E20,E20&lt;C21,E20&lt;F21,D20&gt;C21,D20&gt;F21),"Bu-Fakey1",
IF(AND(C19&gt;F19,D19&gt;D20,D19&gt;D21,E19&lt;E20,E21&lt;E19,E21&lt;E20,E20&lt;C21,E20&lt;F21,D20&gt;C21,D20&gt;F21),"Be-Fakey1",
IF(AND(C19&lt;F19,E19&lt;E20,E19&lt;E21,D19&gt;D20,D19&lt;D21,D21&gt;D20,E20&lt;C21,E20&lt;F21,D20&gt;C21,D20&gt;F21),"Bu-Fakey2",
IF(AND(C19&gt;F19,E19&lt;E20,E19&lt;E21,D19&gt;D20,D21&gt;D19,D21&gt;D20,E20&lt;C21,E20&lt;F21,D20&gt;C21,D20&gt;F21),"Be-Fakey2",
IF(AND(C19&lt;F19,D19&gt;D20,E19&lt;E20),"Bu-Insd",
IF(AND(C19&gt;F19,D19&gt;D20,E19&lt;E20),"Be-Insd","")))))))),"")</f>
        <v/>
      </c>
      <c r="I19" s="57">
        <f>IFERROR(
IF(AND(C19&lt;&gt;"",C20&lt;&gt;"",D19&lt;&gt;"",E19&lt;&gt;"",C20&lt;D19,C20&gt;E19,OR(ABS(C20-C19)&gt;70*$F$1,ABS(C20-F19)&gt;70*$F$1)),"InGap",
IF(AND(C19&lt;&gt;"",C20&lt;&gt;"",D19&lt;&gt;"",E19&lt;&gt;"",OR(AND(C20&gt;D19,C20-D19&gt;5*$F$1),AND(C20&lt;E19,E19-C20&gt;5*$F$1))),"OutGap","")),"")</f>
        <v/>
      </c>
      <c r="J19" s="93">
        <f>IFERROR(IF(P19="","",IF(AND(P19="L",Q19&lt;&gt;""),Q19,IF(AND(P19="L",Q19=""),E19-$L$1,IF(AND(P19="S",Q19&lt;&gt;""),Q19,IF(P19="S",D19+$L$1,""))))),"")</f>
        <v/>
      </c>
      <c r="K19" s="18">
        <f>IF(L19="","",-(ABS(L19-J19)*$J$1*$D$1))</f>
        <v/>
      </c>
      <c r="L19" s="94" t="n"/>
      <c r="M19" s="98">
        <f>IFERROR(IF(OR(J19="",L19="",AND(J19="",L19="")),"",
IF(AND(J19&lt;&gt;"",L19&lt;&gt;"",P19="L",R19&lt;&gt;""),R19,
IF(AND(J19&lt;&gt;"",L19&lt;&gt;"",P19="L",R19=""),(((L19-J19)*$N$1)+L19),
IF(AND(J19&lt;&gt;"",L19&lt;&gt;"",P19="S",R19&lt;&gt;""),R19,
IF(AND(J19&lt;&gt;"",L19&lt;&gt;"",P19="S",R19=""),L19-(((J19-L19)*$N$1))))))),"")</f>
        <v/>
      </c>
      <c r="N19" s="20">
        <f>IF(L19="","",ABS(L19-M19)*$J$1*$D$1)</f>
        <v/>
      </c>
      <c r="O19" s="22">
        <f>IF(L19="","",IF(L19&lt;J19,"Sell","Buy"))</f>
        <v/>
      </c>
      <c r="P19" s="49" t="n"/>
      <c r="Q19" s="96" t="n"/>
      <c r="R19" s="97" t="n"/>
      <c r="S19" s="35">
        <f>IFERROR(IF(O19="","",IF(O19="Buy",(($F$24-L19)*$J$1)*$D$1,IF(O19="sell",((L19-$F$24)*$J$1)*$D$1,""))),"")</f>
        <v/>
      </c>
    </row>
    <row r="20" spans="1:24">
      <c r="A20" s="19" t="n">
        <v>18</v>
      </c>
      <c r="B20" s="90" t="n">
        <v>43397</v>
      </c>
      <c r="C20" s="91" t="n">
        <v>1.14728</v>
      </c>
      <c r="D20" s="91" t="n">
        <v>1.1477</v>
      </c>
      <c r="E20" s="91" t="n">
        <v>1.13786</v>
      </c>
      <c r="F20" s="92" t="n">
        <v>1.13914</v>
      </c>
      <c r="G20" s="55">
        <f>IFERROR(IF(AND(C20="",D20="",E20="",F20=""),"",
IF(AND(C20&lt;&gt;"",D20&lt;&gt;"",E20&lt;&gt;"",F20&lt;&gt;"",F20=C20),"White DOJI",
IF(AND(C20&lt;&gt;"",D20&lt;&gt;"",E20&lt;&gt;"",F20&lt;&gt;"",F20&gt;C20,(ABS(C20-F20))&lt;$G$1*2),"Bull DOJI",
IF(AND(C20&lt;&gt;"",D20&lt;&gt;"",E20&lt;&gt;"",F20&lt;&gt;"",F20&lt;C20,(ABS(C20-F20))&lt;$G$1*2),"Bear DOJI",
IF(AND(C20&lt;&gt;"",D20&lt;&gt;"",E20&lt;&gt;"",F20&lt;&gt;"",F20&gt;C20,((C20-E20)/(F20-C20))&gt;3,((C20-E20)/(D20-F20))&gt;3,((D20-F20)/(F20-C20))&lt;=4.5),"Bull Pin Type A",
IF(AND(C20&lt;&gt;"",D20&lt;&gt;"",E20&lt;&gt;"",F20&lt;&gt;"",F20&gt;C20,((D20-F20)/(F20-C20))&gt;3,((D20-F20)/(C20-E20))&gt;3,((C20-E20)/(F20-C20))&lt;=4.5),"Bull Pin Type B",
IF(AND(C20&lt;&gt;"",D20&lt;&gt;"",E20&lt;&gt;"",F20&lt;&gt;"",F20&gt;C20,((D20-F20)/(F20-C20))&gt;3,((C20-E20)/(F20-C20))&gt;3),"Bull Pin Type C",
IF(AND(C20&lt;&gt;"",D20&lt;&gt;"",E20&lt;&gt;"",F20&lt;&gt;"",F20&lt;C20,((D20-C20)/(C20-F20))&gt;3,((D20-C20)/(F20-E20))&gt;3,((F20-E20)/(C20-F20))&lt;=4.5),"Bear Pin Type A",
IF(AND(C20&lt;&gt;"",D20&lt;&gt;"",E20&lt;&gt;"",F20&lt;&gt;"",F20&lt;C20,((F20-E20)/(C20-F20))&gt;3,((F20-E20)/(D20-C20))&gt;3,((D20-C20)/(C20-F20))&lt;=4.5),"Bear Pin Type B",
IF(AND(C20&lt;&gt;"",D20&lt;&gt;"",E20&lt;&gt;"",F20&lt;&gt;"",F20&lt;C20,((D20-C20)/(C20-F20))&gt;3,((F20-E20)/(C20-F20))&gt;3),"Bear Pin Type C","")))))))))),"")</f>
        <v/>
      </c>
      <c r="H20" s="26">
        <f>IFERROR(IF(AND(C20&gt;F20,D20&lt;D21,D20&lt;F21,F20&gt;=C21,E20&gt;E21),"Bu-Englf",
IF(AND(C20&lt;F20,D20&lt;D21,F20&lt;=C21,E20&gt;E21,E20&gt;F21),"Be-Englf",
IF(AND(C20&lt;F20,D20&gt;D21,D20&gt;D22,E20&lt;E21,E20&gt;E22,E22&lt;E21,E21&lt;C22,E21&lt;F22,D21&gt;C22,D21&gt;F22),"Bu-Fakey1",
IF(AND(C20&gt;F20,D20&gt;D21,D20&gt;D22,E20&lt;E21,E22&lt;E20,E22&lt;E21,E21&lt;C22,E21&lt;F22,D21&gt;C22,D21&gt;F22),"Be-Fakey1",
IF(AND(C20&lt;F20,E20&lt;E21,E20&lt;E22,D20&gt;D21,D20&lt;D22,D22&gt;D21,E21&lt;C22,E21&lt;F22,D21&gt;C22,D21&gt;F22),"Bu-Fakey2",
IF(AND(C20&gt;F20,E20&lt;E21,E20&lt;E22,D20&gt;D21,D22&gt;D20,D22&gt;D21,E21&lt;C22,E21&lt;F22,D21&gt;C22,D21&gt;F22),"Be-Fakey2",
IF(AND(C20&lt;F20,D20&gt;D21,E20&lt;E21),"Bu-Insd",
IF(AND(C20&gt;F20,D20&gt;D21,E20&lt;E21),"Be-Insd","")))))))),"")</f>
        <v/>
      </c>
      <c r="I20" s="57">
        <f>IFERROR(
IF(AND(C20&lt;&gt;"",C21&lt;&gt;"",D20&lt;&gt;"",E20&lt;&gt;"",C21&lt;D20,C21&gt;E20,OR(ABS(C21-C20)&gt;70*$F$1,ABS(C21-F20)&gt;70*$F$1)),"InGap",
IF(AND(C20&lt;&gt;"",C21&lt;&gt;"",D20&lt;&gt;"",E20&lt;&gt;"",OR(AND(C21&gt;D20,C21-D20&gt;5*$F$1),AND(C21&lt;E20,E20-C21&gt;5*$F$1))),"OutGap","")),"")</f>
        <v/>
      </c>
      <c r="J20" s="93">
        <f>IFERROR(IF(P20="","",IF(AND(P20="L",Q20&lt;&gt;""),Q20,IF(AND(P20="L",Q20=""),E20-$L$1,IF(AND(P20="S",Q20&lt;&gt;""),Q20,IF(P20="S",D20+$L$1,""))))),"")</f>
        <v/>
      </c>
      <c r="K20" s="18">
        <f>IF(L20="","",-(ABS(L20-J20)*$J$1*$D$1))</f>
        <v/>
      </c>
      <c r="L20" s="94" t="n"/>
      <c r="M20" s="98">
        <f>IFERROR(IF(OR(J20="",L20="",AND(J20="",L20="")),"",
IF(AND(J20&lt;&gt;"",L20&lt;&gt;"",P20="L",R20&lt;&gt;""),R20,
IF(AND(J20&lt;&gt;"",L20&lt;&gt;"",P20="L",R20=""),(((L20-J20)*$N$1)+L20),
IF(AND(J20&lt;&gt;"",L20&lt;&gt;"",P20="S",R20&lt;&gt;""),R20,
IF(AND(J20&lt;&gt;"",L20&lt;&gt;"",P20="S",R20=""),L20-(((J20-L20)*$N$1))))))),"")</f>
        <v/>
      </c>
      <c r="N20" s="20">
        <f>IF(L20="","",ABS(L20-M20)*$J$1*$D$1)</f>
        <v/>
      </c>
      <c r="O20" s="22">
        <f>IF(L20="","",IF(L20&lt;J20,"Sell","Buy"))</f>
        <v/>
      </c>
      <c r="P20" s="49" t="n"/>
      <c r="Q20" s="96" t="n"/>
      <c r="R20" s="97" t="n"/>
      <c r="S20" s="35">
        <f>IFERROR(IF(O20="","",IF(O20="Buy",(($F$24-L20)*$J$1)*$D$1,IF(O20="sell",((L20-$F$24)*$J$1)*$D$1,""))),"")</f>
        <v/>
      </c>
    </row>
    <row r="21" spans="1:24">
      <c r="A21" s="19" t="n">
        <v>19</v>
      </c>
      <c r="B21" s="90" t="n">
        <v>43398</v>
      </c>
      <c r="C21" s="91" t="n">
        <v>1.13926</v>
      </c>
      <c r="D21" s="91" t="n">
        <v>1.14328</v>
      </c>
      <c r="E21" s="91" t="n">
        <v>1.13561</v>
      </c>
      <c r="F21" s="92" t="n">
        <v>1.13748</v>
      </c>
      <c r="G21" s="55">
        <f>IFERROR(IF(AND(C21="",D21="",E21="",F21=""),"",
IF(AND(C21&lt;&gt;"",D21&lt;&gt;"",E21&lt;&gt;"",F21&lt;&gt;"",F21=C21),"White DOJI",
IF(AND(C21&lt;&gt;"",D21&lt;&gt;"",E21&lt;&gt;"",F21&lt;&gt;"",F21&gt;C21,(ABS(C21-F21))&lt;$G$1*2),"Bull DOJI",
IF(AND(C21&lt;&gt;"",D21&lt;&gt;"",E21&lt;&gt;"",F21&lt;&gt;"",F21&lt;C21,(ABS(C21-F21))&lt;$G$1*2),"Bear DOJI",
IF(AND(C21&lt;&gt;"",D21&lt;&gt;"",E21&lt;&gt;"",F21&lt;&gt;"",F21&gt;C21,((C21-E21)/(F21-C21))&gt;3,((C21-E21)/(D21-F21))&gt;3,((D21-F21)/(F21-C21))&lt;=4.5),"Bull Pin Type A",
IF(AND(C21&lt;&gt;"",D21&lt;&gt;"",E21&lt;&gt;"",F21&lt;&gt;"",F21&gt;C21,((D21-F21)/(F21-C21))&gt;3,((D21-F21)/(C21-E21))&gt;3,((C21-E21)/(F21-C21))&lt;=4.5),"Bull Pin Type B",
IF(AND(C21&lt;&gt;"",D21&lt;&gt;"",E21&lt;&gt;"",F21&lt;&gt;"",F21&gt;C21,((D21-F21)/(F21-C21))&gt;3,((C21-E21)/(F21-C21))&gt;3),"Bull Pin Type C",
IF(AND(C21&lt;&gt;"",D21&lt;&gt;"",E21&lt;&gt;"",F21&lt;&gt;"",F21&lt;C21,((D21-C21)/(C21-F21))&gt;3,((D21-C21)/(F21-E21))&gt;3,((F21-E21)/(C21-F21))&lt;=4.5),"Bear Pin Type A",
IF(AND(C21&lt;&gt;"",D21&lt;&gt;"",E21&lt;&gt;"",F21&lt;&gt;"",F21&lt;C21,((F21-E21)/(C21-F21))&gt;3,((F21-E21)/(D21-C21))&gt;3,((D21-C21)/(C21-F21))&lt;=4.5),"Bear Pin Type B",
IF(AND(C21&lt;&gt;"",D21&lt;&gt;"",E21&lt;&gt;"",F21&lt;&gt;"",F21&lt;C21,((D21-C21)/(C21-F21))&gt;3,((F21-E21)/(C21-F21))&gt;3),"Bear Pin Type C","")))))))))),"")</f>
        <v/>
      </c>
      <c r="H21" s="26">
        <f>IFERROR(IF(AND(C21&gt;F21,D21&lt;D22,D21&lt;F22,F21&gt;=C22,E21&gt;E22),"Bu-Englf",
IF(AND(C21&lt;F21,D21&lt;D22,F21&lt;=C22,E21&gt;E22,E21&gt;F22),"Be-Englf",
IF(AND(C21&lt;F21,D21&gt;D22,D21&gt;D23,E21&lt;E22,E21&gt;E23,E23&lt;E22,E22&lt;C23,E22&lt;F23,D22&gt;C23,D22&gt;F23),"Bu-Fakey1",
IF(AND(C21&gt;F21,D21&gt;D22,D21&gt;D23,E21&lt;E22,E23&lt;E21,E23&lt;E22,E22&lt;C23,E22&lt;F23,D22&gt;C23,D22&gt;F23),"Be-Fakey1",
IF(AND(C21&lt;F21,E21&lt;E22,E21&lt;E23,D21&gt;D22,D21&lt;D23,D23&gt;D22,E22&lt;C23,E22&lt;F23,D22&gt;C23,D22&gt;F23),"Bu-Fakey2",
IF(AND(C21&gt;F21,E21&lt;E22,E21&lt;E23,D21&gt;D22,D23&gt;D21,D23&gt;D22,E22&lt;C23,E22&lt;F23,D22&gt;C23,D22&gt;F23),"Be-Fakey2",
IF(AND(C21&lt;F21,D21&gt;D22,E21&lt;E22),"Bu-Insd",
IF(AND(C21&gt;F21,D21&gt;D22,E21&lt;E22),"Be-Insd","")))))))),"")</f>
        <v/>
      </c>
      <c r="I21" s="57">
        <f>IFERROR(
IF(AND(C21&lt;&gt;"",C22&lt;&gt;"",D21&lt;&gt;"",E21&lt;&gt;"",C22&lt;D21,C22&gt;E21,OR(ABS(C22-C21)&gt;70*$F$1,ABS(C22-F21)&gt;70*$F$1)),"InGap",
IF(AND(C21&lt;&gt;"",C22&lt;&gt;"",D21&lt;&gt;"",E21&lt;&gt;"",OR(AND(C22&gt;D21,C22-D21&gt;5*$F$1),AND(C22&lt;E21,E21-C22&gt;5*$F$1))),"OutGap","")),"")</f>
        <v/>
      </c>
      <c r="J21" s="93">
        <f>IFERROR(IF(P21="","",IF(AND(P21="L",Q21&lt;&gt;""),Q21,IF(AND(P21="L",Q21=""),E21-$L$1,IF(AND(P21="S",Q21&lt;&gt;""),Q21,IF(P21="S",D21+$L$1,""))))),"")</f>
        <v/>
      </c>
      <c r="K21" s="18">
        <f>IF(L21="","",-(ABS(L21-J21)*$J$1*$D$1))</f>
        <v/>
      </c>
      <c r="L21" s="94" t="n"/>
      <c r="M21" s="98">
        <f>IFERROR(IF(OR(J21="",L21="",AND(J21="",L21="")),"",
IF(AND(J21&lt;&gt;"",L21&lt;&gt;"",P21="L",R21&lt;&gt;""),R21,
IF(AND(J21&lt;&gt;"",L21&lt;&gt;"",P21="L",R21=""),(((L21-J21)*$N$1)+L21),
IF(AND(J21&lt;&gt;"",L21&lt;&gt;"",P21="S",R21&lt;&gt;""),R21,
IF(AND(J21&lt;&gt;"",L21&lt;&gt;"",P21="S",R21=""),L21-(((J21-L21)*$N$1))))))),"")</f>
        <v/>
      </c>
      <c r="N21" s="20">
        <f>IF(L21="","",ABS(L21-M21)*$J$1*$D$1)</f>
        <v/>
      </c>
      <c r="O21" s="22">
        <f>IF(L21="","",IF(L21&lt;J21,"Sell","Buy"))</f>
        <v/>
      </c>
      <c r="P21" s="49" t="n"/>
      <c r="Q21" s="96" t="n"/>
      <c r="R21" s="97" t="n"/>
      <c r="S21" s="35">
        <f>IFERROR(IF(O21="","",IF(O21="Buy",(($F$24-L21)*$J$1)*$D$1,IF(O21="sell",((L21-$F$24)*$J$1)*$D$1,""))),"")</f>
        <v/>
      </c>
    </row>
    <row customHeight="1" ht="11.25" r="22" spans="1:24">
      <c r="A22" s="19" t="n">
        <v>20</v>
      </c>
      <c r="B22" s="99" t="n">
        <v>43399</v>
      </c>
      <c r="C22" s="23" t="n">
        <v>1.13741</v>
      </c>
      <c r="D22" s="23" t="n">
        <v>1.14208</v>
      </c>
      <c r="E22" s="23" t="n">
        <v>1.13357</v>
      </c>
      <c r="F22" s="53" t="n">
        <v>1.14033</v>
      </c>
      <c r="G22" s="55">
        <f>IFERROR(IF(AND(C22="",D22="",E22="",F22=""),"",
IF(AND(C22&lt;&gt;"",D22&lt;&gt;"",E22&lt;&gt;"",F22&lt;&gt;"",F22=C22),"White DOJI",
IF(AND(C22&lt;&gt;"",D22&lt;&gt;"",E22&lt;&gt;"",F22&lt;&gt;"",F22&gt;C22,(ABS(C22-F22))&lt;$G$1*2),"Bull DOJI",
IF(AND(C22&lt;&gt;"",D22&lt;&gt;"",E22&lt;&gt;"",F22&lt;&gt;"",F22&lt;C22,(ABS(C22-F22))&lt;$G$1*2),"Bear DOJI",
IF(AND(C22&lt;&gt;"",D22&lt;&gt;"",E22&lt;&gt;"",F22&lt;&gt;"",F22&gt;C22,((C22-E22)/(F22-C22))&gt;3,((C22-E22)/(D22-F22))&gt;3,((D22-F22)/(F22-C22))&lt;=4.5),"Bull Pin Type A",
IF(AND(C22&lt;&gt;"",D22&lt;&gt;"",E22&lt;&gt;"",F22&lt;&gt;"",F22&gt;C22,((D22-F22)/(F22-C22))&gt;3,((D22-F22)/(C22-E22))&gt;3,((C22-E22)/(F22-C22))&lt;=4.5),"Bull Pin Type B",
IF(AND(C22&lt;&gt;"",D22&lt;&gt;"",E22&lt;&gt;"",F22&lt;&gt;"",F22&gt;C22,((D22-F22)/(F22-C22))&gt;3,((C22-E22)/(F22-C22))&gt;3),"Bull Pin Type C",
IF(AND(C22&lt;&gt;"",D22&lt;&gt;"",E22&lt;&gt;"",F22&lt;&gt;"",F22&lt;C22,((D22-C22)/(C22-F22))&gt;3,((D22-C22)/(F22-E22))&gt;3,((F22-E22)/(C22-F22))&lt;=4.5),"Bear Pin Type A",
IF(AND(C22&lt;&gt;"",D22&lt;&gt;"",E22&lt;&gt;"",F22&lt;&gt;"",F22&lt;C22,((F22-E22)/(C22-F22))&gt;3,((F22-E22)/(D22-C22))&gt;3,((D22-C22)/(C22-F22))&lt;=4.5),"Bear Pin Type B",
IF(AND(C22&lt;&gt;"",D22&lt;&gt;"",E22&lt;&gt;"",F22&lt;&gt;"",F22&lt;C22,((D22-C22)/(C22-F22))&gt;3,((F22-E22)/(C22-F22))&gt;3),"Bear Pin Type C","")))))))))),"")</f>
        <v/>
      </c>
      <c r="H22" s="26">
        <f>IFERROR(IF(AND(C22&gt;F22,D22&lt;D23,D22&lt;F23,F22&gt;=C23,E22&gt;E23),"Bu-Englf",
IF(AND(C22&lt;F22,D22&lt;D23,F22&lt;=C23,E22&gt;E23,E22&gt;F23),"Be-Englf",
IF(AND(C22&lt;F22,D22&gt;D23,D22&gt;D24,E22&lt;E23,E22&gt;E24,E24&lt;E23,E23&lt;C24,E23&lt;F24,D23&gt;C24,D23&gt;F24),"Bu-Fakey1",
IF(AND(C22&gt;F22,D22&gt;D23,D22&gt;D24,E22&lt;E23,E24&lt;E22,E24&lt;E23,E23&lt;C24,E23&lt;F24,D23&gt;C24,D23&gt;F24),"Be-Fakey1",
IF(AND(C22&lt;F22,E22&lt;E23,E22&lt;E24,D22&gt;D23,D22&lt;D24,D24&gt;D23,E23&lt;C24,E23&lt;F24,D23&gt;C24,D23&gt;F24),"Bu-Fakey2",
IF(AND(C22&gt;F22,E22&lt;E23,E22&lt;E24,D22&gt;D23,D24&gt;D22,D24&gt;D23,E23&lt;C24,E23&lt;F24,D23&gt;C24,D23&gt;F24),"Be-Fakey2",
IF(AND(C22&lt;F22,D22&gt;D23,E22&lt;E23),"Bu-Insd",
IF(AND(C22&gt;F22,D22&gt;D23,E22&lt;E23),"Be-Insd","")))))))),"")</f>
        <v/>
      </c>
      <c r="I22" s="57">
        <f>IFERROR(
IF(AND(C22&lt;&gt;"",C23&lt;&gt;"",D22&lt;&gt;"",E22&lt;&gt;"",C23&lt;D22,C23&gt;E22,OR(ABS(C23-C22)&gt;70*$F$1,ABS(C23-F22)&gt;70*$F$1)),"InGap",
IF(AND(C22&lt;&gt;"",C23&lt;&gt;"",D22&lt;&gt;"",E22&lt;&gt;"",OR(AND(C23&gt;D22,C23-D22&gt;5*$F$1),AND(C23&lt;E22,E22-C23&gt;5*$F$1))),"OutGap","")),"")</f>
        <v/>
      </c>
      <c r="J22" s="93">
        <f>IFERROR(IF(P22="","",IF(AND(P22="L",Q22&lt;&gt;""),Q22,IF(AND(P22="L",Q22=""),E22-$L$1,IF(AND(P22="S",Q22&lt;&gt;""),Q22,IF(P22="S",D22+$L$1,""))))),"")</f>
        <v/>
      </c>
      <c r="K22" s="18">
        <f>IF(L22="","",-(ABS(L22-J22)*$J$1*$D$1))</f>
        <v/>
      </c>
      <c r="L22" s="94" t="n"/>
      <c r="M22" s="98">
        <f>IFERROR(IF(OR(J22="",L22="",AND(J22="",L22="")),"",
IF(AND(J22&lt;&gt;"",L22&lt;&gt;"",P22="L",R22&lt;&gt;""),R22,
IF(AND(J22&lt;&gt;"",L22&lt;&gt;"",P22="L",R22=""),(((L22-J22)*$N$1)+L22),
IF(AND(J22&lt;&gt;"",L22&lt;&gt;"",P22="S",R22&lt;&gt;""),R22,
IF(AND(J22&lt;&gt;"",L22&lt;&gt;"",P22="S",R22=""),L22-(((J22-L22)*$N$1))))))),"")</f>
        <v/>
      </c>
      <c r="N22" s="20">
        <f>IF(L22="","",ABS(L22-M22)*$J$1*$D$1)</f>
        <v/>
      </c>
      <c r="O22" s="22">
        <f>IF(L22="","",IF(L22&lt;J22,"Sell","Buy"))</f>
        <v/>
      </c>
      <c r="P22" s="49" t="n"/>
      <c r="Q22" s="96" t="n"/>
      <c r="R22" s="97" t="n"/>
      <c r="S22" s="35">
        <f>IFERROR(IF(O22="","",IF(O22="Buy",(($F$24-L22)*$J$1)*$D$1,IF(O22="sell",((L22-$F$24)*$J$1)*$D$1,""))),"")</f>
        <v/>
      </c>
      <c r="T22" s="29" t="n"/>
      <c r="U22" s="137" t="n"/>
    </row>
    <row customHeight="1" ht="12.75" r="23" spans="1:24" thickBot="1">
      <c r="A23" s="22" t="n">
        <v>21</v>
      </c>
      <c r="B23" s="100" t="n">
        <v>43402</v>
      </c>
      <c r="C23" s="101" t="n">
        <v>1.13934</v>
      </c>
      <c r="D23" s="101" t="n">
        <v>1.14165</v>
      </c>
      <c r="E23" s="101" t="n">
        <v>1.13607</v>
      </c>
      <c r="F23" s="102" t="n">
        <v>1.13732</v>
      </c>
      <c r="G23" s="58">
        <f>IFERROR(IF(AND(C23="",D23="",E23="",F23=""),"",
IF(AND(C23&lt;&gt;"",D23&lt;&gt;"",E23&lt;&gt;"",F23&lt;&gt;"",F23=C23),"White DOJI",
IF(AND(C23&lt;&gt;"",D23&lt;&gt;"",E23&lt;&gt;"",F23&lt;&gt;"",F23&gt;C23,(ABS(C23-F23))&lt;$G$1*2),"Bull DOJI",
IF(AND(C23&lt;&gt;"",D23&lt;&gt;"",E23&lt;&gt;"",F23&lt;&gt;"",F23&lt;C23,(ABS(C23-F23))&lt;$G$1*2),"Bear DOJI",
IF(AND(C23&lt;&gt;"",D23&lt;&gt;"",E23&lt;&gt;"",F23&lt;&gt;"",F23&gt;C23,((C23-E23)/(F23-C23))&gt;3,((C23-E23)/(D23-F23))&gt;3,((D23-F23)/(F23-C23))&lt;=4.5),"Bull Pin Type A",
IF(AND(C23&lt;&gt;"",D23&lt;&gt;"",E23&lt;&gt;"",F23&lt;&gt;"",F23&gt;C23,((D23-F23)/(F23-C23))&gt;3,((D23-F23)/(C23-E23))&gt;3,((C23-E23)/(F23-C23))&lt;=4.5),"Bull Pin Type B",
IF(AND(C23&lt;&gt;"",D23&lt;&gt;"",E23&lt;&gt;"",F23&lt;&gt;"",F23&gt;C23,((D23-F23)/(F23-C23))&gt;3,((C23-E23)/(F23-C23))&gt;3),"Bull Pin Type C",
IF(AND(C23&lt;&gt;"",D23&lt;&gt;"",E23&lt;&gt;"",F23&lt;&gt;"",F23&lt;C23,((D23-C23)/(C23-F23))&gt;3,((D23-C23)/(F23-E23))&gt;3,((F23-E23)/(C23-F23))&lt;=4.5),"Bear Pin Type A",
IF(AND(C23&lt;&gt;"",D23&lt;&gt;"",E23&lt;&gt;"",F23&lt;&gt;"",F23&lt;C23,((F23-E23)/(C23-F23))&gt;3,((F23-E23)/(D23-C23))&gt;3,((D23-C23)/(C23-F23))&lt;=4.5),"Bear Pin Type B",
IF(AND(C23&lt;&gt;"",D23&lt;&gt;"",E23&lt;&gt;"",F23&lt;&gt;"",F23&lt;C23,((D23-C23)/(C23-F23))&gt;3,((F23-E23)/(C23-F23))&gt;3),"Bear Pin Type C","")))))))))),"")</f>
        <v/>
      </c>
      <c r="H23" s="27">
        <f>IFERROR(IF(AND(C23&gt;F23,D23&lt;D24,D23&lt;F24,F23&gt;=C24,E23&gt;E24),"Bu-Englf",
IF(AND(C23&lt;F23,D23&lt;D24,F23&lt;=C24,E23&gt;E24,E23&gt;F24),"Be-Englf",
IF(AND(C23&lt;F23,D23&gt;D24,D23&gt;D25,E23&lt;E24,E23&gt;E25,E25&lt;E24,E24&lt;C25,E24&lt;F25,D24&gt;C25,D24&gt;F25),"Bu-Fakey1",
IF(AND(C23&gt;F23,D23&gt;D24,D23&gt;D25,E23&lt;E24,E25&lt;E23,E25&lt;E24,E24&lt;C25,E24&lt;F25,D24&gt;C25,D24&gt;F25),"Be-Fakey1",
IF(AND(C23&lt;F23,E23&lt;E24,E23&lt;E25,D23&gt;D24,D23&lt;D25,D25&gt;D24,E24&lt;C25,E24&lt;F25,D24&gt;C25,D24&gt;F25),"Bu-Fakey2",
IF(AND(C23&gt;F23,E23&lt;E24,E23&lt;E25,D23&gt;D24,D25&gt;D23,D25&gt;D24,E24&lt;C25,E24&lt;F25,D24&gt;C25,D24&gt;F25),"Be-Fakey2",
IF(AND(C23&lt;F23,D23&gt;D24,E23&lt;E24),"Bu-Insd",
IF(AND(C23&gt;F23,D23&gt;D24,E23&lt;E24),"Be-Insd","")))))))),"")</f>
        <v/>
      </c>
      <c r="I23" s="64">
        <f>IFERROR(
IF(AND(C23&lt;&gt;"",C24&lt;&gt;"",D23&lt;&gt;"",E23&lt;&gt;"",C24&lt;D23,C24&gt;E23,OR(ABS(C24-C23)&gt;70*$F$1,ABS(C24-F23)&gt;70*$F$1)),"InGap",
IF(AND(C23&lt;&gt;"",C24&lt;&gt;"",D23&lt;&gt;"",E23&lt;&gt;"",OR(AND(C24&gt;D23,C24-D23&gt;5*$F$1),AND(C24&lt;E23,E23-C24&gt;5*$F$1))),"OutGap","")),"")</f>
        <v/>
      </c>
      <c r="J23" s="93">
        <f>IFERROR(IF(P23="","",IF(AND(P23="L",Q23&lt;&gt;""),Q23,IF(AND(P23="L",Q23=""),E23-$L$1,IF(AND(P23="S",Q23&lt;&gt;""),Q23,IF(P23="S",D23+$L$1,""))))),"")</f>
        <v/>
      </c>
      <c r="K23" s="18">
        <f>IF(L23="","",-(ABS(L23-J23)*$J$1*$D$1))</f>
        <v/>
      </c>
      <c r="L23" s="94" t="n"/>
      <c r="M23" s="98">
        <f>IFERROR(IF(OR(J23="",L23="",AND(J23="",L23="")),"",
IF(AND(J23&lt;&gt;"",L23&lt;&gt;"",P23="L",R23&lt;&gt;""),R23,
IF(AND(J23&lt;&gt;"",L23&lt;&gt;"",P23="L",R23=""),(((L23-J23)*$N$1)+L23),
IF(AND(J23&lt;&gt;"",L23&lt;&gt;"",P23="S",R23&lt;&gt;""),R23,
IF(AND(J23&lt;&gt;"",L23&lt;&gt;"",P23="S",R23=""),L23-(((J23-L23)*$N$1))))))),"")</f>
        <v/>
      </c>
      <c r="N23" s="20">
        <f>IF(L23="","",ABS(L23-M23)*$J$1*$D$1)</f>
        <v/>
      </c>
      <c r="O23" s="22">
        <f>IF(L23="","",IF(L23&lt;J23,"Sell","Buy"))</f>
        <v/>
      </c>
      <c r="P23" s="50" t="n"/>
      <c r="Q23" s="96" t="n"/>
      <c r="R23" s="97" t="n"/>
      <c r="S23" s="36">
        <f>IFERROR(IF(O23="","",IF(O23="Buy",(($F$24-L23)*$J$1)*$D$1,IF(O23="sell",((L23-$F$24)*$J$1)*$D$1,""))),"")</f>
        <v/>
      </c>
      <c r="T23" s="30" t="n"/>
      <c r="U23" s="32" t="n"/>
      <c r="V23" s="31" t="n"/>
    </row>
    <row customHeight="1" ht="12.75" r="24" spans="1:24" thickBot="1" thickTop="1">
      <c r="A24" s="124" t="s">
        <v>25</v>
      </c>
      <c r="B24" s="103" t="n">
        <v>43403</v>
      </c>
      <c r="C24" s="104" t="n">
        <v>1.13732</v>
      </c>
      <c r="D24" s="104" t="n">
        <v>1.13878</v>
      </c>
      <c r="E24" s="104" t="n">
        <v>1.13455</v>
      </c>
      <c r="F24" s="105" t="n">
        <v>1.13458</v>
      </c>
      <c r="G24" s="59">
        <f>IFERROR(IF(AND(C24="",D24="",E24="",F24=""),"",
IF(AND(C24&lt;&gt;"",D24&lt;&gt;"",E24&lt;&gt;"",F24&lt;&gt;"",F24=C24),"White DOJI",
IF(AND(C24&lt;&gt;"",D24&lt;&gt;"",E24&lt;&gt;"",F24&lt;&gt;"",F24&gt;C24,(ABS(C24-F24))&lt;$G$1*2),"Bull DOJI",
IF(AND(C24&lt;&gt;"",D24&lt;&gt;"",E24&lt;&gt;"",F24&lt;&gt;"",F24&lt;C24,(ABS(C24-F24))&lt;$G$1*2),"Bear DOJI",
IF(AND(C24&lt;&gt;"",D24&lt;&gt;"",E24&lt;&gt;"",F24&lt;&gt;"",F24&gt;C24,((C24-E24)/(F24-C24))&gt;3,((C24-E24)/(D24-F24))&gt;3,((D24-F24)/(F24-C24))&lt;=4.5),"Bull Pin Type A",
IF(AND(C24&lt;&gt;"",D24&lt;&gt;"",E24&lt;&gt;"",F24&lt;&gt;"",F24&gt;C24,((D24-F24)/(F24-C24))&gt;3,((D24-F24)/(C24-E24))&gt;3,((C24-E24)/(F24-C24))&lt;=4.5),"Bull Pin Type B",
IF(AND(C24&lt;&gt;"",D24&lt;&gt;"",E24&lt;&gt;"",F24&lt;&gt;"",F24&gt;C24,((D24-F24)/(F24-C24))&gt;3,((C24-E24)/(F24-C24))&gt;3),"Bull Pin Type C",
IF(AND(C24&lt;&gt;"",D24&lt;&gt;"",E24&lt;&gt;"",F24&lt;&gt;"",F24&lt;C24,((D24-C24)/(C24-F24))&gt;3,((D24-C24)/(F24-E24))&gt;3,((F24-E24)/(C24-F24))&lt;=4.5),"Bear Pin Type A",
IF(AND(C24&lt;&gt;"",D24&lt;&gt;"",E24&lt;&gt;"",F24&lt;&gt;"",F24&lt;C24,((F24-E24)/(C24-F24))&gt;3,((F24-E24)/(D24-C24))&gt;3,((D24-C24)/(C24-F24))&lt;=4.5),"Bear Pin Type B",
IF(AND(C24&lt;&gt;"",D24&lt;&gt;"",E24&lt;&gt;"",F24&lt;&gt;"",F24&lt;C24,((D24-C24)/(C24-F24))&gt;3,((F24-E24)/(C24-F24))&gt;3),"Bear Pin Type C","")))))))))),"")</f>
        <v/>
      </c>
      <c r="H24" s="60">
        <f>IFERROR(IF(AND(C24&gt;F24,D24&lt;D25,D24&lt;F25,F24&gt;=C25,E24&gt;E25),"Bu-Englf",
IF(AND(C24&lt;F24,D24&lt;D25,F24&lt;=C25,E24&gt;E25,E24&gt;F25),"Be-Englf",
IF(AND(C24&lt;F24,D24&gt;D25,D24&gt;D26,E24&lt;E25,E24&gt;E26,E26&lt;E25,E25&lt;C26,E25&lt;F26,D25&gt;C26,D25&gt;F26),"Bu-Fakey1",
IF(AND(C24&gt;F24,D24&gt;D25,D24&gt;D26,E24&lt;E25,E26&lt;E24,E26&lt;E25,E25&lt;C26,E25&lt;F26,D25&gt;C26,D25&gt;F26),"Be-Fakey1",
IF(AND(C24&lt;F24,E24&lt;E25,E24&lt;E26,D24&gt;D25,D24&lt;D26,D26&gt;D25,E25&lt;C26,E25&lt;F26,D25&gt;C26,D25&gt;F26),"Bu-Fakey2",
IF(AND(C24&gt;F24,E24&lt;E25,E24&lt;E26,D24&gt;D25,D26&gt;D24,D26&gt;D25,E25&lt;C26,E25&lt;F26,D25&gt;C26,D25&gt;F26),"Be-Fakey2",
IF(AND(C24&lt;F24,D24&gt;D25,E24&lt;E25),"Bu-Insd",
IF(AND(C24&gt;F24,D24&gt;D25,E24&lt;E25),"Be-Insd","")))))))),"")</f>
        <v/>
      </c>
      <c r="I24" s="65">
        <f>IFERROR(
IF(AND(C24&lt;&gt;"",C25&lt;&gt;"",D24&lt;&gt;"",E24&lt;&gt;"",C25&lt;D24,C25&gt;E24,OR(ABS(C25-C24)&gt;70*$F$1,ABS(C25-F24)&gt;70*$F$1)),"InGap",
IF(AND(C24&lt;&gt;"",C25&lt;&gt;"",D24&lt;&gt;"",E24&lt;&gt;"",OR(AND(C25&gt;D24,C25-D24&gt;5*$F$1),AND(C25&lt;E24,E24-C25&gt;5*$F$1))),"OutGap","")),"")</f>
        <v/>
      </c>
      <c r="J24" s="126" t="s">
        <v>15</v>
      </c>
      <c r="K24" s="130" t="s">
        <v>16</v>
      </c>
      <c r="L24" s="131" t="s">
        <v>26</v>
      </c>
      <c r="M24" s="131" t="s">
        <v>27</v>
      </c>
      <c r="N24" s="130" t="s">
        <v>28</v>
      </c>
      <c r="O24" s="132" t="s">
        <v>20</v>
      </c>
      <c r="P24" s="135" t="s">
        <v>29</v>
      </c>
      <c r="S24" s="45">
        <f>SUM(S3:S23)</f>
        <v/>
      </c>
      <c r="T24" s="136" t="s">
        <v>30</v>
      </c>
      <c r="U24" s="138" t="s">
        <v>31</v>
      </c>
      <c r="V24" s="130" t="s">
        <v>32</v>
      </c>
      <c r="W24" s="75" t="s">
        <v>33</v>
      </c>
      <c r="X24" s="12" t="s">
        <v>22</v>
      </c>
    </row>
    <row customHeight="1" ht="12.75" r="25" spans="1:24" thickBot="1">
      <c r="B25" s="127" t="n">
        <v>43403</v>
      </c>
      <c r="C25" s="121" t="s">
        <v>8</v>
      </c>
      <c r="D25" s="121" t="s">
        <v>34</v>
      </c>
      <c r="E25" s="121" t="s">
        <v>35</v>
      </c>
      <c r="F25" s="121" t="s">
        <v>36</v>
      </c>
      <c r="G25" s="128" t="s">
        <v>37</v>
      </c>
      <c r="H25" s="129" t="s">
        <v>13</v>
      </c>
      <c r="I25" s="129" t="s">
        <v>14</v>
      </c>
      <c r="P25" s="129" t="s">
        <v>21</v>
      </c>
      <c r="Q25" s="134" t="s">
        <v>38</v>
      </c>
      <c r="R25" s="134" t="s">
        <v>27</v>
      </c>
      <c r="S25" s="162" t="s">
        <v>39</v>
      </c>
      <c r="W25" s="3">
        <f>SUM(V27:V326)</f>
        <v/>
      </c>
      <c r="X25" s="128" t="s">
        <v>23</v>
      </c>
    </row>
    <row customHeight="1" ht="24.75" r="26" spans="1:24" thickBot="1">
      <c r="W26" s="13" t="s">
        <v>40</v>
      </c>
      <c r="X26" s="14" t="n"/>
    </row>
    <row r="27" spans="1:24">
      <c r="A27" s="125" t="n">
        <v>1</v>
      </c>
      <c r="B27" s="137" t="n"/>
      <c r="G27" s="122" t="n"/>
      <c r="H27" s="122" t="n"/>
      <c r="I27" s="122" t="n"/>
      <c r="K27" s="133" t="n"/>
      <c r="N27" s="133" t="n"/>
      <c r="S27" s="154">
        <f>IF(P27="","",IF(P27="L",ABS((M27-L27)/(L27-J27)),IF(P27="S",ABS((L27-M27)/(J27-L27)),"")))</f>
        <v/>
      </c>
      <c r="V27" s="133">
        <f>IF(U27="","",IF(U27="SL",K27,IF(U27="TP",N27,"")))</f>
        <v/>
      </c>
      <c r="X27" s="125">
        <f>IF(O27="","",IF(AND(O27="Buy",$E$24&lt;J27),"SL",IF(AND(O27="Buy",$D$24&gt;M27),"TP",IF(AND(O27="Sell",$D$24&gt;J27),"SL",IF(AND(O27="Sell",$E$24&lt;M27),"TP","")))))</f>
        <v/>
      </c>
    </row>
    <row r="28" spans="1:24">
      <c r="A28" s="125" t="n">
        <v>2</v>
      </c>
      <c r="B28" s="137" t="n"/>
      <c r="G28" s="122" t="n"/>
      <c r="H28" s="122" t="n"/>
      <c r="I28" s="122" t="n"/>
      <c r="K28" s="133" t="n"/>
      <c r="N28" s="133" t="n"/>
      <c r="S28" s="154">
        <f>IF(P28="","",IF(P28="L",ABS((M28-L28)/(L28-J28)),IF(P28="S",ABS((L28-M28)/(J28-L28)),"")))</f>
        <v/>
      </c>
      <c r="V28" s="133">
        <f>IF(U28="","",IF(U28="SL",K28,IF(U28="TP",N28,"")))</f>
        <v/>
      </c>
      <c r="X28" s="125">
        <f>IF(O28="","",IF(AND(O28="Buy",$E$24&lt;J28),"SL",IF(AND(O28="Buy",$D$24&gt;M28),"TP",IF(AND(O28="Sell",$D$24&gt;J28),"SL",IF(AND(O28="Sell",$E$24&lt;M28),"TP","")))))</f>
        <v/>
      </c>
    </row>
    <row r="29" spans="1:24">
      <c r="A29" s="125" t="n">
        <v>3</v>
      </c>
      <c r="B29" s="137" t="n"/>
      <c r="G29" s="122" t="n"/>
      <c r="H29" s="122" t="n"/>
      <c r="I29" s="122" t="n"/>
      <c r="K29" s="133" t="n"/>
      <c r="N29" s="133" t="n"/>
      <c r="S29" s="154">
        <f>IF(P29="","",IF(P29="L",ABS((M29-L29)/(L29-J29)),IF(P29="S",ABS((L29-M29)/(J29-L29)),"")))</f>
        <v/>
      </c>
      <c r="V29" s="133">
        <f>IF(U29="","",IF(U29="SL",K29,IF(U29="TP",N29,"")))</f>
        <v/>
      </c>
      <c r="X29" s="125">
        <f>IF(O29="","",IF(AND(O29="Buy",$E$24&lt;J29),"SL",IF(AND(O29="Buy",$D$24&gt;M29),"TP",IF(AND(O29="Sell",$D$24&gt;J29),"SL",IF(AND(O29="Sell",$E$24&lt;M29),"TP","")))))</f>
        <v/>
      </c>
    </row>
    <row r="30" spans="1:24">
      <c r="A30" s="125" t="n">
        <v>4</v>
      </c>
      <c r="B30" s="137" t="n"/>
      <c r="G30" s="122" t="n"/>
      <c r="H30" s="122" t="n"/>
      <c r="I30" s="122" t="n"/>
      <c r="K30" s="133" t="n"/>
      <c r="N30" s="133" t="n"/>
      <c r="S30" s="154">
        <f>IF(P30="","",IF(P30="L",ABS((M30-L30)/(L30-J30)),IF(P30="S",ABS((L30-M30)/(J30-L30)),"")))</f>
        <v/>
      </c>
      <c r="V30" s="133">
        <f>IF(U30="","",IF(U30="SL",K30,IF(U30="TP",N30,"")))</f>
        <v/>
      </c>
      <c r="X30" s="125">
        <f>IF(O30="","",IF(AND(O30="Buy",$E$24&lt;J30),"SL",IF(AND(O30="Buy",$D$24&gt;M30),"TP",IF(AND(O30="Sell",$D$24&gt;J30),"SL",IF(AND(O30="Sell",$E$24&lt;M30),"TP","")))))</f>
        <v/>
      </c>
    </row>
    <row r="31" spans="1:24">
      <c r="A31" s="125" t="n">
        <v>5</v>
      </c>
      <c r="B31" s="137" t="n"/>
      <c r="G31" s="122" t="n"/>
      <c r="H31" s="122" t="n"/>
      <c r="I31" s="122" t="n"/>
      <c r="K31" s="133" t="n"/>
      <c r="N31" s="133" t="n"/>
      <c r="S31" s="154">
        <f>IF(P31="","",IF(P31="L",ABS((M31-L31)/(L31-J31)),IF(P31="S",ABS((L31-M31)/(J31-L31)),"")))</f>
        <v/>
      </c>
      <c r="V31" s="133">
        <f>IF(U31="","",IF(U31="SL",K31,IF(U31="TP",N31,"")))</f>
        <v/>
      </c>
      <c r="X31" s="125">
        <f>IF(O31="","",IF(AND(O31="Buy",$E$24&lt;J31),"SL",IF(AND(O31="Buy",$D$24&gt;M31),"TP",IF(AND(O31="Sell",$D$24&gt;J31),"SL",IF(AND(O31="Sell",$E$24&lt;M31),"TP","")))))</f>
        <v/>
      </c>
    </row>
    <row r="32" spans="1:24">
      <c r="A32" s="125" t="n">
        <v>6</v>
      </c>
      <c r="B32" s="137" t="n"/>
      <c r="G32" s="122" t="n"/>
      <c r="H32" s="122" t="n"/>
      <c r="I32" s="122" t="n"/>
      <c r="K32" s="133" t="n"/>
      <c r="N32" s="133" t="n"/>
      <c r="S32" s="154">
        <f>IF(P32="","",IF(P32="L",ABS((M32-L32)/(L32-J32)),IF(P32="S",ABS((L32-M32)/(J32-L32)),"")))</f>
        <v/>
      </c>
      <c r="V32" s="133">
        <f>IF(U32="","",IF(U32="SL",K32,IF(U32="TP",N32,"")))</f>
        <v/>
      </c>
      <c r="X32" s="125">
        <f>IF(O32="","",IF(AND(O32="Buy",$E$24&lt;J32),"SL",IF(AND(O32="Buy",$D$24&gt;M32),"TP",IF(AND(O32="Sell",$D$24&gt;J32),"SL",IF(AND(O32="Sell",$E$24&lt;M32),"TP","")))))</f>
        <v/>
      </c>
    </row>
    <row r="33" spans="1:24">
      <c r="A33" s="125" t="n">
        <v>7</v>
      </c>
      <c r="B33" s="137" t="n"/>
      <c r="G33" s="122" t="n"/>
      <c r="H33" s="122" t="n"/>
      <c r="I33" s="122" t="n"/>
      <c r="K33" s="133" t="n"/>
      <c r="N33" s="133" t="n"/>
      <c r="S33" s="154">
        <f>IF(P33="","",IF(P33="L",ABS((M33-L33)/(L33-J33)),IF(P33="S",ABS((L33-M33)/(J33-L33)),"")))</f>
        <v/>
      </c>
      <c r="V33" s="133">
        <f>IF(U33="","",IF(U33="SL",K33,IF(U33="TP",N33,"")))</f>
        <v/>
      </c>
      <c r="X33" s="125">
        <f>IF(O33="","",IF(AND(O33="Buy",$E$24&lt;J33),"SL",IF(AND(O33="Buy",$D$24&gt;M33),"TP",IF(AND(O33="Sell",$D$24&gt;J33),"SL",IF(AND(O33="Sell",$E$24&lt;M33),"TP","")))))</f>
        <v/>
      </c>
    </row>
    <row r="34" spans="1:24">
      <c r="A34" s="125" t="n">
        <v>8</v>
      </c>
      <c r="B34" s="137" t="n"/>
      <c r="G34" s="122" t="n"/>
      <c r="H34" s="122" t="n"/>
      <c r="I34" s="122" t="n"/>
      <c r="K34" s="133" t="n"/>
      <c r="N34" s="133" t="n"/>
      <c r="S34" s="154">
        <f>IF(P34="","",IF(P34="L",ABS((M34-L34)/(L34-J34)),IF(P34="S",ABS((L34-M34)/(J34-L34)),"")))</f>
        <v/>
      </c>
      <c r="V34" s="133">
        <f>IF(U34="","",IF(U34="SL",K34,IF(U34="TP",N34,"")))</f>
        <v/>
      </c>
      <c r="X34" s="125">
        <f>IF(O34="","",IF(AND(O34="Buy",$E$24&lt;J34),"SL",IF(AND(O34="Buy",$D$24&gt;M34),"TP",IF(AND(O34="Sell",$D$24&gt;J34),"SL",IF(AND(O34="Sell",$E$24&lt;M34),"TP","")))))</f>
        <v/>
      </c>
    </row>
    <row r="35" spans="1:24">
      <c r="A35" s="125" t="n">
        <v>9</v>
      </c>
      <c r="B35" s="137" t="n"/>
      <c r="G35" s="122" t="n"/>
      <c r="H35" s="122" t="n"/>
      <c r="I35" s="122" t="n"/>
      <c r="K35" s="133" t="n"/>
      <c r="N35" s="133" t="n"/>
      <c r="S35" s="154">
        <f>IF(P35="","",IF(P35="L",ABS((M35-L35)/(L35-J35)),IF(P35="S",ABS((L35-M35)/(J35-L35)),"")))</f>
        <v/>
      </c>
      <c r="V35" s="133">
        <f>IF(U35="","",IF(U35="SL",K35,IF(U35="TP",N35,"")))</f>
        <v/>
      </c>
      <c r="X35" s="125">
        <f>IF(O35="","",IF(AND(O35="Buy",$E$24&lt;J35),"SL",IF(AND(O35="Buy",$D$24&gt;M35),"TP",IF(AND(O35="Sell",$D$24&gt;J35),"SL",IF(AND(O35="Sell",$E$24&lt;M35),"TP","")))))</f>
        <v/>
      </c>
    </row>
    <row r="36" spans="1:24">
      <c r="A36" s="125" t="n">
        <v>10</v>
      </c>
      <c r="B36" s="137" t="n"/>
      <c r="G36" s="122" t="n"/>
      <c r="H36" s="122" t="n"/>
      <c r="I36" s="122" t="n"/>
      <c r="K36" s="133" t="n"/>
      <c r="N36" s="133" t="n"/>
      <c r="S36" s="154">
        <f>IF(P36="","",IF(P36="L",ABS((M36-L36)/(L36-J36)),IF(P36="S",ABS((L36-M36)/(J36-L36)),"")))</f>
        <v/>
      </c>
      <c r="V36" s="133">
        <f>IF(U36="","",IF(U36="SL",K36,IF(U36="TP",N36,"")))</f>
        <v/>
      </c>
      <c r="X36" s="125">
        <f>IF(O36="","",IF(AND(O36="Buy",$E$24&lt;J36),"SL",IF(AND(O36="Buy",$D$24&gt;M36),"TP",IF(AND(O36="Sell",$D$24&gt;J36),"SL",IF(AND(O36="Sell",$E$24&lt;M36),"TP","")))))</f>
        <v/>
      </c>
    </row>
    <row r="37" spans="1:24">
      <c r="A37" s="125" t="n">
        <v>11</v>
      </c>
      <c r="B37" s="137" t="n"/>
      <c r="G37" s="122" t="n"/>
      <c r="H37" s="122" t="n"/>
      <c r="I37" s="122" t="n"/>
      <c r="K37" s="133" t="n"/>
      <c r="N37" s="133" t="n"/>
      <c r="S37" s="154">
        <f>IF(P37="","",IF(P37="L",ABS((M37-L37)/(L37-J37)),IF(P37="S",ABS((L37-M37)/(J37-L37)),"")))</f>
        <v/>
      </c>
      <c r="V37" s="133">
        <f>IF(U37="","",IF(U37="SL",K37,IF(U37="TP",N37,"")))</f>
        <v/>
      </c>
      <c r="X37" s="125">
        <f>IF(O37="","",IF(AND(O37="Buy",$E$24&lt;J37),"SL",IF(AND(O37="Buy",$D$24&gt;M37),"TP",IF(AND(O37="Sell",$D$24&gt;J37),"SL",IF(AND(O37="Sell",$E$24&lt;M37),"TP","")))))</f>
        <v/>
      </c>
    </row>
    <row r="38" spans="1:24">
      <c r="A38" s="125" t="n">
        <v>12</v>
      </c>
      <c r="B38" s="137" t="n"/>
      <c r="G38" s="122" t="n"/>
      <c r="H38" s="122" t="n"/>
      <c r="I38" s="122" t="n"/>
      <c r="K38" s="133" t="n"/>
      <c r="N38" s="133" t="n"/>
      <c r="S38" s="154">
        <f>IF(P38="","",IF(P38="L",ABS((M38-L38)/(L38-J38)),IF(P38="S",ABS((L38-M38)/(J38-L38)),"")))</f>
        <v/>
      </c>
      <c r="V38" s="133">
        <f>IF(U38="","",IF(U38="SL",K38,IF(U38="TP",N38,"")))</f>
        <v/>
      </c>
      <c r="X38" s="125">
        <f>IF(O38="","",IF(AND(O38="Buy",$E$24&lt;J38),"SL",IF(AND(O38="Buy",$D$24&gt;M38),"TP",IF(AND(O38="Sell",$D$24&gt;J38),"SL",IF(AND(O38="Sell",$E$24&lt;M38),"TP","")))))</f>
        <v/>
      </c>
    </row>
    <row r="39" spans="1:24">
      <c r="A39" s="125" t="n">
        <v>13</v>
      </c>
      <c r="B39" s="137" t="n"/>
      <c r="G39" s="122" t="n"/>
      <c r="H39" s="122" t="n"/>
      <c r="I39" s="122" t="n"/>
      <c r="K39" s="133" t="n"/>
      <c r="N39" s="133" t="n"/>
      <c r="S39" s="154">
        <f>IF(P39="","",IF(P39="L",ABS((M39-L39)/(L39-J39)),IF(P39="S",ABS((L39-M39)/(J39-L39)),"")))</f>
        <v/>
      </c>
      <c r="V39" s="133">
        <f>IF(U39="","",IF(U39="SL",K39,IF(U39="TP",N39,"")))</f>
        <v/>
      </c>
      <c r="X39" s="125">
        <f>IF(O39="","",IF(AND(O39="Buy",$E$24&lt;J39),"SL",IF(AND(O39="Buy",$D$24&gt;M39),"TP",IF(AND(O39="Sell",$D$24&gt;J39),"SL",IF(AND(O39="Sell",$E$24&lt;M39),"TP","")))))</f>
        <v/>
      </c>
    </row>
    <row r="40" spans="1:24">
      <c r="A40" s="125" t="n">
        <v>14</v>
      </c>
      <c r="B40" s="137" t="n"/>
      <c r="G40" s="122" t="n"/>
      <c r="H40" s="122" t="n"/>
      <c r="I40" s="122" t="n"/>
      <c r="K40" s="133" t="n"/>
      <c r="N40" s="133" t="n"/>
      <c r="S40" s="154">
        <f>IF(P40="","",IF(P40="L",ABS((M40-L40)/(L40-J40)),IF(P40="S",ABS((L40-M40)/(J40-L40)),"")))</f>
        <v/>
      </c>
      <c r="V40" s="133">
        <f>IF(U40="","",IF(U40="SL",K40,IF(U40="TP",N40,"")))</f>
        <v/>
      </c>
      <c r="X40" s="125">
        <f>IF(O40="","",IF(AND(O40="Buy",$E$24&lt;J40),"SL",IF(AND(O40="Buy",$D$24&gt;M40),"TP",IF(AND(O40="Sell",$D$24&gt;J40),"SL",IF(AND(O40="Sell",$E$24&lt;M40),"TP","")))))</f>
        <v/>
      </c>
    </row>
    <row r="41" spans="1:24">
      <c r="A41" s="125" t="n">
        <v>15</v>
      </c>
      <c r="B41" s="137" t="n"/>
      <c r="G41" s="122" t="n"/>
      <c r="H41" s="122" t="n"/>
      <c r="I41" s="122" t="n"/>
      <c r="K41" s="133" t="n"/>
      <c r="N41" s="133" t="n"/>
      <c r="S41" s="154">
        <f>IF(P41="","",IF(P41="L",ABS((M41-L41)/(L41-J41)),IF(P41="S",ABS((L41-M41)/(J41-L41)),"")))</f>
        <v/>
      </c>
      <c r="V41" s="133">
        <f>IF(U41="","",IF(U41="SL",K41,IF(U41="TP",N41,"")))</f>
        <v/>
      </c>
      <c r="X41" s="125">
        <f>IF(O41="","",IF(AND(O41="Buy",$E$24&lt;J41),"SL",IF(AND(O41="Buy",$D$24&gt;M41),"TP",IF(AND(O41="Sell",$D$24&gt;J41),"SL",IF(AND(O41="Sell",$E$24&lt;M41),"TP","")))))</f>
        <v/>
      </c>
    </row>
    <row r="42" spans="1:24">
      <c r="A42" s="125" t="n">
        <v>16</v>
      </c>
      <c r="B42" s="137" t="n"/>
      <c r="G42" s="122" t="n"/>
      <c r="H42" s="122" t="n"/>
      <c r="I42" s="122" t="n"/>
      <c r="K42" s="133" t="n"/>
      <c r="N42" s="133" t="n"/>
      <c r="S42" s="154">
        <f>IF(P42="","",IF(P42="L",ABS((M42-L42)/(L42-J42)),IF(P42="S",ABS((L42-M42)/(J42-L42)),"")))</f>
        <v/>
      </c>
      <c r="V42" s="133">
        <f>IF(U42="","",IF(U42="SL",K42,IF(U42="TP",N42,"")))</f>
        <v/>
      </c>
      <c r="X42" s="125">
        <f>IF(O42="","",IF(AND(O42="Buy",$E$24&lt;J42),"SL",IF(AND(O42="Buy",$D$24&gt;M42),"TP",IF(AND(O42="Sell",$D$24&gt;J42),"SL",IF(AND(O42="Sell",$E$24&lt;M42),"TP","")))))</f>
        <v/>
      </c>
    </row>
    <row r="43" spans="1:24">
      <c r="A43" s="125" t="n">
        <v>17</v>
      </c>
      <c r="B43" s="137" t="n"/>
      <c r="G43" s="122" t="n"/>
      <c r="H43" s="122" t="n"/>
      <c r="I43" s="122" t="n"/>
      <c r="K43" s="133" t="n"/>
      <c r="N43" s="133" t="n"/>
      <c r="S43" s="154">
        <f>IF(P43="","",IF(P43="L",ABS((M43-L43)/(L43-J43)),IF(P43="S",ABS((L43-M43)/(J43-L43)),"")))</f>
        <v/>
      </c>
      <c r="V43" s="133">
        <f>IF(U43="","",IF(U43="SL",K43,IF(U43="TP",N43,"")))</f>
        <v/>
      </c>
      <c r="X43" s="125">
        <f>IF(O43="","",IF(AND(O43="Buy",$E$24&lt;J43),"SL",IF(AND(O43="Buy",$D$24&gt;M43),"TP",IF(AND(O43="Sell",$D$24&gt;J43),"SL",IF(AND(O43="Sell",$E$24&lt;M43),"TP","")))))</f>
        <v/>
      </c>
    </row>
    <row r="44" spans="1:24">
      <c r="A44" s="125" t="n">
        <v>18</v>
      </c>
      <c r="B44" s="137" t="n"/>
      <c r="G44" s="122" t="n"/>
      <c r="H44" s="122" t="n"/>
      <c r="I44" s="122" t="n"/>
      <c r="K44" s="133" t="n"/>
      <c r="N44" s="133" t="n"/>
      <c r="S44" s="154">
        <f>IF(P44="","",IF(P44="L",ABS((M44-L44)/(L44-J44)),IF(P44="S",ABS((L44-M44)/(J44-L44)),"")))</f>
        <v/>
      </c>
      <c r="V44" s="133">
        <f>IF(U44="","",IF(U44="SL",K44,IF(U44="TP",N44,"")))</f>
        <v/>
      </c>
      <c r="X44" s="125">
        <f>IF(O44="","",IF(AND(O44="Buy",$E$24&lt;J44),"SL",IF(AND(O44="Buy",$D$24&gt;M44),"TP",IF(AND(O44="Sell",$D$24&gt;J44),"SL",IF(AND(O44="Sell",$E$24&lt;M44),"TP","")))))</f>
        <v/>
      </c>
    </row>
    <row r="45" spans="1:24">
      <c r="A45" s="125" t="n">
        <v>19</v>
      </c>
      <c r="B45" s="137" t="n"/>
      <c r="G45" s="122" t="n"/>
      <c r="H45" s="122" t="n"/>
      <c r="I45" s="122" t="n"/>
      <c r="K45" s="133" t="n"/>
      <c r="N45" s="133" t="n"/>
      <c r="S45" s="154">
        <f>IF(P45="","",IF(P45="L",ABS((M45-L45)/(L45-J45)),IF(P45="S",ABS((L45-M45)/(J45-L45)),"")))</f>
        <v/>
      </c>
      <c r="V45" s="133">
        <f>IF(U45="","",IF(U45="SL",K45,IF(U45="TP",N45,"")))</f>
        <v/>
      </c>
      <c r="X45" s="125">
        <f>IF(O45="","",IF(AND(O45="Buy",$E$24&lt;J45),"SL",IF(AND(O45="Buy",$D$24&gt;M45),"TP",IF(AND(O45="Sell",$D$24&gt;J45),"SL",IF(AND(O45="Sell",$E$24&lt;M45),"TP","")))))</f>
        <v/>
      </c>
    </row>
    <row r="46" spans="1:24">
      <c r="A46" s="125" t="n">
        <v>20</v>
      </c>
      <c r="B46" s="137" t="n"/>
      <c r="G46" s="122" t="n"/>
      <c r="H46" s="122" t="n"/>
      <c r="I46" s="122" t="n"/>
      <c r="K46" s="133" t="n"/>
      <c r="N46" s="133" t="n"/>
      <c r="S46" s="154">
        <f>IF(P46="","",IF(P46="L",ABS((M46-L46)/(L46-J46)),IF(P46="S",ABS((L46-M46)/(J46-L46)),"")))</f>
        <v/>
      </c>
      <c r="V46" s="133">
        <f>IF(U46="","",IF(U46="SL",K46,IF(U46="TP",N46,"")))</f>
        <v/>
      </c>
      <c r="X46" s="125">
        <f>IF(O46="","",IF(AND(O46="Buy",$E$24&lt;J46),"SL",IF(AND(O46="Buy",$D$24&gt;M46),"TP",IF(AND(O46="Sell",$D$24&gt;J46),"SL",IF(AND(O46="Sell",$E$24&lt;M46),"TP","")))))</f>
        <v/>
      </c>
    </row>
    <row r="47" spans="1:24">
      <c r="A47" s="125" t="n">
        <v>21</v>
      </c>
      <c r="B47" s="137" t="n"/>
      <c r="G47" s="122" t="n"/>
      <c r="H47" s="122" t="n"/>
      <c r="I47" s="122" t="n"/>
      <c r="K47" s="133" t="n"/>
      <c r="N47" s="133" t="n"/>
      <c r="S47" s="154">
        <f>IF(P47="","",IF(P47="L",ABS((M47-L47)/(L47-J47)),IF(P47="S",ABS((L47-M47)/(J47-L47)),"")))</f>
        <v/>
      </c>
      <c r="V47" s="133">
        <f>IF(U47="","",IF(U47="SL",K47,IF(U47="TP",N47,"")))</f>
        <v/>
      </c>
      <c r="X47" s="125">
        <f>IF(O47="","",IF(AND(O47="Buy",$E$24&lt;J47),"SL",IF(AND(O47="Buy",$D$24&gt;M47),"TP",IF(AND(O47="Sell",$D$24&gt;J47),"SL",IF(AND(O47="Sell",$E$24&lt;M47),"TP","")))))</f>
        <v/>
      </c>
    </row>
    <row r="48" spans="1:24">
      <c r="A48" s="125" t="n">
        <v>22</v>
      </c>
      <c r="B48" s="137" t="n"/>
      <c r="G48" s="122" t="n"/>
      <c r="H48" s="122" t="n"/>
      <c r="I48" s="122" t="n"/>
      <c r="K48" s="133" t="n"/>
      <c r="N48" s="133" t="n"/>
      <c r="S48" s="154">
        <f>IF(P48="","",IF(P48="L",ABS((M48-L48)/(L48-J48)),IF(P48="S",ABS((L48-M48)/(J48-L48)),"")))</f>
        <v/>
      </c>
      <c r="V48" s="133">
        <f>IF(U48="","",IF(U48="SL",K48,IF(U48="TP",N48,"")))</f>
        <v/>
      </c>
      <c r="X48" s="125">
        <f>IF(O48="","",IF(AND(O48="Buy",$E$24&lt;J48),"SL",IF(AND(O48="Buy",$D$24&gt;M48),"TP",IF(AND(O48="Sell",$D$24&gt;J48),"SL",IF(AND(O48="Sell",$E$24&lt;M48),"TP","")))))</f>
        <v/>
      </c>
    </row>
    <row r="49" spans="1:24">
      <c r="A49" s="125" t="n">
        <v>23</v>
      </c>
      <c r="B49" s="137" t="n"/>
      <c r="G49" s="122" t="n"/>
      <c r="H49" s="122" t="n"/>
      <c r="I49" s="122" t="n"/>
      <c r="K49" s="133" t="n"/>
      <c r="N49" s="133" t="n"/>
      <c r="S49" s="154">
        <f>IF(P49="","",IF(P49="L",ABS((M49-L49)/(L49-J49)),IF(P49="S",ABS((L49-M49)/(J49-L49)),"")))</f>
        <v/>
      </c>
      <c r="V49" s="133">
        <f>IF(U49="","",IF(U49="SL",K49,IF(U49="TP",N49,"")))</f>
        <v/>
      </c>
      <c r="X49" s="125">
        <f>IF(O49="","",IF(AND(O49="Buy",$E$24&lt;J49),"SL",IF(AND(O49="Buy",$D$24&gt;M49),"TP",IF(AND(O49="Sell",$D$24&gt;J49),"SL",IF(AND(O49="Sell",$E$24&lt;M49),"TP","")))))</f>
        <v/>
      </c>
    </row>
    <row r="50" spans="1:24">
      <c r="A50" s="125" t="n">
        <v>24</v>
      </c>
      <c r="B50" s="137" t="n"/>
      <c r="G50" s="122" t="n"/>
      <c r="H50" s="122" t="n"/>
      <c r="I50" s="122" t="n"/>
      <c r="K50" s="133" t="n"/>
      <c r="N50" s="133" t="n"/>
      <c r="S50" s="154">
        <f>IF(P50="","",IF(P50="L",ABS((M50-L50)/(L50-J50)),IF(P50="S",ABS((L50-M50)/(J50-L50)),"")))</f>
        <v/>
      </c>
      <c r="V50" s="133">
        <f>IF(U50="","",IF(U50="SL",K50,IF(U50="TP",N50,"")))</f>
        <v/>
      </c>
      <c r="X50" s="125">
        <f>IF(O50="","",IF(AND(O50="Buy",$E$24&lt;J50),"SL",IF(AND(O50="Buy",$D$24&gt;M50),"TP",IF(AND(O50="Sell",$D$24&gt;J50),"SL",IF(AND(O50="Sell",$E$24&lt;M50),"TP","")))))</f>
        <v/>
      </c>
    </row>
    <row r="51" spans="1:24">
      <c r="A51" s="125" t="n">
        <v>25</v>
      </c>
      <c r="B51" s="137" t="n"/>
      <c r="G51" s="122" t="n"/>
      <c r="H51" s="122" t="n"/>
      <c r="I51" s="122" t="n"/>
      <c r="K51" s="133" t="n"/>
      <c r="N51" s="133" t="n"/>
      <c r="S51" s="154">
        <f>IF(P51="","",IF(P51="L",ABS((M51-L51)/(L51-J51)),IF(P51="S",ABS((L51-M51)/(J51-L51)),"")))</f>
        <v/>
      </c>
      <c r="V51" s="133">
        <f>IF(U51="","",IF(U51="SL",K51,IF(U51="TP",N51,"")))</f>
        <v/>
      </c>
      <c r="X51" s="125">
        <f>IF(O51="","",IF(AND(O51="Buy",$E$24&lt;J51),"SL",IF(AND(O51="Buy",$D$24&gt;M51),"TP",IF(AND(O51="Sell",$D$24&gt;J51),"SL",IF(AND(O51="Sell",$E$24&lt;M51),"TP","")))))</f>
        <v/>
      </c>
    </row>
    <row r="52" spans="1:24">
      <c r="A52" s="125" t="n">
        <v>26</v>
      </c>
      <c r="B52" s="137" t="n"/>
      <c r="G52" s="122" t="n"/>
      <c r="H52" s="122" t="n"/>
      <c r="I52" s="122" t="n"/>
      <c r="K52" s="133" t="n"/>
      <c r="N52" s="133" t="n"/>
      <c r="S52" s="154">
        <f>IF(P52="","",IF(P52="L",ABS((M52-L52)/(L52-J52)),IF(P52="S",ABS((L52-M52)/(J52-L52)),"")))</f>
        <v/>
      </c>
      <c r="V52" s="133">
        <f>IF(U52="","",IF(U52="SL",K52,IF(U52="TP",N52,"")))</f>
        <v/>
      </c>
      <c r="X52" s="125">
        <f>IF(O52="","",IF(AND(O52="Buy",$E$24&lt;J52),"SL",IF(AND(O52="Buy",$D$24&gt;M52),"TP",IF(AND(O52="Sell",$D$24&gt;J52),"SL",IF(AND(O52="Sell",$E$24&lt;M52),"TP","")))))</f>
        <v/>
      </c>
    </row>
    <row r="53" spans="1:24">
      <c r="A53" s="125" t="n">
        <v>27</v>
      </c>
      <c r="B53" s="137" t="n"/>
      <c r="G53" s="122" t="n"/>
      <c r="H53" s="122" t="n"/>
      <c r="I53" s="122" t="n"/>
      <c r="K53" s="133" t="n"/>
      <c r="N53" s="133" t="n"/>
      <c r="S53" s="154">
        <f>IF(P53="","",IF(P53="L",ABS((M53-L53)/(L53-J53)),IF(P53="S",ABS((L53-M53)/(J53-L53)),"")))</f>
        <v/>
      </c>
      <c r="V53" s="133">
        <f>IF(U53="","",IF(U53="SL",K53,IF(U53="TP",N53,"")))</f>
        <v/>
      </c>
      <c r="X53" s="125">
        <f>IF(O53="","",IF(AND(O53="Buy",$E$24&lt;J53),"SL",IF(AND(O53="Buy",$D$24&gt;M53),"TP",IF(AND(O53="Sell",$D$24&gt;J53),"SL",IF(AND(O53="Sell",$E$24&lt;M53),"TP","")))))</f>
        <v/>
      </c>
    </row>
    <row r="54" spans="1:24">
      <c r="A54" s="125" t="n">
        <v>28</v>
      </c>
      <c r="B54" s="137" t="n"/>
      <c r="G54" s="122" t="n"/>
      <c r="H54" s="122" t="n"/>
      <c r="I54" s="122" t="n"/>
      <c r="K54" s="133" t="n"/>
      <c r="N54" s="133" t="n"/>
      <c r="S54" s="154">
        <f>IF(P54="","",IF(P54="L",ABS((M54-L54)/(L54-J54)),IF(P54="S",ABS((L54-M54)/(J54-L54)),"")))</f>
        <v/>
      </c>
      <c r="V54" s="133">
        <f>IF(U54="","",IF(U54="SL",K54,IF(U54="TP",N54,"")))</f>
        <v/>
      </c>
      <c r="X54" s="125">
        <f>IF(O54="","",IF(AND(O54="Buy",$E$24&lt;J54),"SL",IF(AND(O54="Buy",$D$24&gt;M54),"TP",IF(AND(O54="Sell",$D$24&gt;J54),"SL",IF(AND(O54="Sell",$E$24&lt;M54),"TP","")))))</f>
        <v/>
      </c>
    </row>
    <row r="55" spans="1:24">
      <c r="A55" s="125" t="n">
        <v>29</v>
      </c>
      <c r="B55" s="137" t="n"/>
      <c r="G55" s="122" t="n"/>
      <c r="H55" s="122" t="n"/>
      <c r="I55" s="122" t="n"/>
      <c r="K55" s="133" t="n"/>
      <c r="N55" s="133" t="n"/>
      <c r="S55" s="154">
        <f>IF(P55="","",IF(P55="L",ABS((M55-L55)/(L55-J55)),IF(P55="S",ABS((L55-M55)/(J55-L55)),"")))</f>
        <v/>
      </c>
      <c r="V55" s="133">
        <f>IF(U55="","",IF(U55="SL",K55,IF(U55="TP",N55,"")))</f>
        <v/>
      </c>
      <c r="X55" s="125">
        <f>IF(O55="","",IF(AND(O55="Buy",$E$24&lt;J55),"SL",IF(AND(O55="Buy",$D$24&gt;M55),"TP",IF(AND(O55="Sell",$D$24&gt;J55),"SL",IF(AND(O55="Sell",$E$24&lt;M55),"TP","")))))</f>
        <v/>
      </c>
    </row>
    <row r="56" spans="1:24">
      <c r="A56" s="125" t="n">
        <v>30</v>
      </c>
      <c r="B56" s="137" t="n"/>
      <c r="G56" s="122" t="n"/>
      <c r="H56" s="122" t="n"/>
      <c r="I56" s="122" t="n"/>
      <c r="K56" s="133" t="n"/>
      <c r="N56" s="133" t="n"/>
      <c r="S56" s="154">
        <f>IF(P56="","",IF(P56="L",ABS((M56-L56)/(L56-J56)),IF(P56="S",ABS((L56-M56)/(J56-L56)),"")))</f>
        <v/>
      </c>
      <c r="V56" s="133">
        <f>IF(U56="","",IF(U56="SL",K56,IF(U56="TP",N56,"")))</f>
        <v/>
      </c>
      <c r="X56" s="125">
        <f>IF(O56="","",IF(AND(O56="Buy",$E$24&lt;J56),"SL",IF(AND(O56="Buy",$D$24&gt;M56),"TP",IF(AND(O56="Sell",$D$24&gt;J56),"SL",IF(AND(O56="Sell",$E$24&lt;M56),"TP","")))))</f>
        <v/>
      </c>
    </row>
    <row r="57" spans="1:24">
      <c r="A57" s="125" t="n">
        <v>31</v>
      </c>
      <c r="B57" s="137" t="n"/>
      <c r="G57" s="122" t="n"/>
      <c r="H57" s="122" t="n"/>
      <c r="I57" s="122" t="n"/>
      <c r="K57" s="133" t="n"/>
      <c r="N57" s="133" t="n"/>
      <c r="S57" s="154">
        <f>IF(P57="","",IF(P57="L",ABS((M57-L57)/(L57-J57)),IF(P57="S",ABS((L57-M57)/(J57-L57)),"")))</f>
        <v/>
      </c>
      <c r="V57" s="133">
        <f>IF(U57="","",IF(U57="SL",K57,IF(U57="TP",N57,"")))</f>
        <v/>
      </c>
      <c r="X57" s="125">
        <f>IF(O57="","",IF(AND(O57="Buy",$E$24&lt;J57),"SL",IF(AND(O57="Buy",$D$24&gt;M57),"TP",IF(AND(O57="Sell",$D$24&gt;J57),"SL",IF(AND(O57="Sell",$E$24&lt;M57),"TP","")))))</f>
        <v/>
      </c>
    </row>
    <row r="58" spans="1:24">
      <c r="A58" s="125" t="n">
        <v>32</v>
      </c>
      <c r="B58" s="137" t="n"/>
      <c r="G58" s="122" t="n"/>
      <c r="H58" s="122" t="n"/>
      <c r="I58" s="122" t="n"/>
      <c r="K58" s="133" t="n"/>
      <c r="N58" s="133" t="n"/>
      <c r="S58" s="154">
        <f>IF(P58="","",IF(P58="L",ABS((M58-L58)/(L58-J58)),IF(P58="S",ABS((L58-M58)/(J58-L58)),"")))</f>
        <v/>
      </c>
      <c r="V58" s="133">
        <f>IF(U58="","",IF(U58="SL",K58,IF(U58="TP",N58,"")))</f>
        <v/>
      </c>
      <c r="X58" s="125">
        <f>IF(O58="","",IF(AND(O58="Buy",$E$24&lt;J58),"SL",IF(AND(O58="Buy",$D$24&gt;M58),"TP",IF(AND(O58="Sell",$D$24&gt;J58),"SL",IF(AND(O58="Sell",$E$24&lt;M58),"TP","")))))</f>
        <v/>
      </c>
    </row>
    <row r="59" spans="1:24">
      <c r="A59" s="125" t="n">
        <v>33</v>
      </c>
      <c r="B59" s="137" t="n"/>
      <c r="G59" s="122" t="n"/>
      <c r="H59" s="122" t="n"/>
      <c r="I59" s="122" t="n"/>
      <c r="K59" s="133" t="n"/>
      <c r="N59" s="133" t="n"/>
      <c r="S59" s="154">
        <f>IF(P59="","",IF(P59="L",ABS((M59-L59)/(L59-J59)),IF(P59="S",ABS((L59-M59)/(J59-L59)),"")))</f>
        <v/>
      </c>
      <c r="V59" s="133">
        <f>IF(U59="","",IF(U59="SL",K59,IF(U59="TP",N59,"")))</f>
        <v/>
      </c>
      <c r="X59" s="125">
        <f>IF(O59="","",IF(AND(O59="Buy",$E$24&lt;J59),"SL",IF(AND(O59="Buy",$D$24&gt;M59),"TP",IF(AND(O59="Sell",$D$24&gt;J59),"SL",IF(AND(O59="Sell",$E$24&lt;M59),"TP","")))))</f>
        <v/>
      </c>
    </row>
    <row r="60" spans="1:24">
      <c r="A60" s="125" t="n">
        <v>34</v>
      </c>
      <c r="B60" s="137" t="n"/>
      <c r="G60" s="122" t="n"/>
      <c r="H60" s="122" t="n"/>
      <c r="I60" s="122" t="n"/>
      <c r="K60" s="133" t="n"/>
      <c r="N60" s="133" t="n"/>
      <c r="S60" s="154">
        <f>IF(P60="","",IF(P60="L",ABS((M60-L60)/(L60-J60)),IF(P60="S",ABS((L60-M60)/(J60-L60)),"")))</f>
        <v/>
      </c>
      <c r="V60" s="133">
        <f>IF(U60="","",IF(U60="SL",K60,IF(U60="TP",N60,"")))</f>
        <v/>
      </c>
      <c r="X60" s="125">
        <f>IF(O60="","",IF(AND(O60="Buy",$E$24&lt;J60),"SL",IF(AND(O60="Buy",$D$24&gt;M60),"TP",IF(AND(O60="Sell",$D$24&gt;J60),"SL",IF(AND(O60="Sell",$E$24&lt;M60),"TP","")))))</f>
        <v/>
      </c>
    </row>
    <row r="61" spans="1:24">
      <c r="A61" s="125" t="n">
        <v>35</v>
      </c>
      <c r="B61" s="137" t="n"/>
      <c r="G61" s="122" t="n"/>
      <c r="H61" s="122" t="n"/>
      <c r="I61" s="122" t="n"/>
      <c r="K61" s="133" t="n"/>
      <c r="N61" s="133" t="n"/>
      <c r="S61" s="154">
        <f>IF(P61="","",IF(P61="L",ABS((M61-L61)/(L61-J61)),IF(P61="S",ABS((L61-M61)/(J61-L61)),"")))</f>
        <v/>
      </c>
      <c r="V61" s="133">
        <f>IF(U61="","",IF(U61="SL",K61,IF(U61="TP",N61,"")))</f>
        <v/>
      </c>
      <c r="X61" s="125">
        <f>IF(O61="","",IF(AND(O61="Buy",$E$24&lt;J61),"SL",IF(AND(O61="Buy",$D$24&gt;M61),"TP",IF(AND(O61="Sell",$D$24&gt;J61),"SL",IF(AND(O61="Sell",$E$24&lt;M61),"TP","")))))</f>
        <v/>
      </c>
    </row>
    <row r="62" spans="1:24">
      <c r="A62" s="125" t="n">
        <v>36</v>
      </c>
      <c r="B62" s="137" t="n"/>
      <c r="G62" s="122" t="n"/>
      <c r="H62" s="122" t="n"/>
      <c r="I62" s="122" t="n"/>
      <c r="K62" s="133" t="n"/>
      <c r="N62" s="133" t="n"/>
      <c r="S62" s="154">
        <f>IF(P62="","",IF(P62="L",ABS((M62-L62)/(L62-J62)),IF(P62="S",ABS((L62-M62)/(J62-L62)),"")))</f>
        <v/>
      </c>
      <c r="V62" s="133">
        <f>IF(U62="","",IF(U62="SL",K62,IF(U62="TP",N62,"")))</f>
        <v/>
      </c>
      <c r="X62" s="125">
        <f>IF(O62="","",IF(AND(O62="Buy",$E$24&lt;J62),"SL",IF(AND(O62="Buy",$D$24&gt;M62),"TP",IF(AND(O62="Sell",$D$24&gt;J62),"SL",IF(AND(O62="Sell",$E$24&lt;M62),"TP","")))))</f>
        <v/>
      </c>
    </row>
    <row r="63" spans="1:24">
      <c r="A63" s="125" t="n">
        <v>37</v>
      </c>
      <c r="B63" s="137" t="n"/>
      <c r="G63" s="122" t="n"/>
      <c r="H63" s="122" t="n"/>
      <c r="I63" s="122" t="n"/>
      <c r="K63" s="133" t="n"/>
      <c r="N63" s="133" t="n"/>
      <c r="S63" s="154">
        <f>IF(P63="","",IF(P63="L",ABS((M63-L63)/(L63-J63)),IF(P63="S",ABS((L63-M63)/(J63-L63)),"")))</f>
        <v/>
      </c>
      <c r="V63" s="133">
        <f>IF(U63="","",IF(U63="SL",K63,IF(U63="TP",N63,"")))</f>
        <v/>
      </c>
      <c r="X63" s="125">
        <f>IF(O63="","",IF(AND(O63="Buy",$E$24&lt;J63),"SL",IF(AND(O63="Buy",$D$24&gt;M63),"TP",IF(AND(O63="Sell",$D$24&gt;J63),"SL",IF(AND(O63="Sell",$E$24&lt;M63),"TP","")))))</f>
        <v/>
      </c>
    </row>
    <row r="64" spans="1:24">
      <c r="A64" s="125" t="n">
        <v>38</v>
      </c>
      <c r="B64" s="137" t="n"/>
      <c r="G64" s="122" t="n"/>
      <c r="H64" s="122" t="n"/>
      <c r="I64" s="122" t="n"/>
      <c r="K64" s="133" t="n"/>
      <c r="N64" s="133" t="n"/>
      <c r="S64" s="154">
        <f>IF(P64="","",IF(P64="L",ABS((M64-L64)/(L64-J64)),IF(P64="S",ABS((L64-M64)/(J64-L64)),"")))</f>
        <v/>
      </c>
      <c r="V64" s="133">
        <f>IF(U64="","",IF(U64="SL",K64,IF(U64="TP",N64,"")))</f>
        <v/>
      </c>
      <c r="X64" s="125">
        <f>IF(O64="","",IF(AND(O64="Buy",$E$24&lt;J64),"SL",IF(AND(O64="Buy",$D$24&gt;M64),"TP",IF(AND(O64="Sell",$D$24&gt;J64),"SL",IF(AND(O64="Sell",$E$24&lt;M64),"TP","")))))</f>
        <v/>
      </c>
    </row>
    <row r="65" spans="1:24">
      <c r="A65" s="125" t="n">
        <v>39</v>
      </c>
      <c r="B65" s="137" t="n"/>
      <c r="G65" s="122" t="n"/>
      <c r="H65" s="122" t="n"/>
      <c r="I65" s="122" t="n"/>
      <c r="K65" s="133" t="n"/>
      <c r="N65" s="133" t="n"/>
      <c r="S65" s="154">
        <f>IF(P65="","",IF(P65="L",ABS((M65-L65)/(L65-J65)),IF(P65="S",ABS((L65-M65)/(J65-L65)),"")))</f>
        <v/>
      </c>
      <c r="V65" s="133">
        <f>IF(U65="","",IF(U65="SL",K65,IF(U65="TP",N65,"")))</f>
        <v/>
      </c>
      <c r="X65" s="125">
        <f>IF(O65="","",IF(AND(O65="Buy",$E$24&lt;J65),"SL",IF(AND(O65="Buy",$D$24&gt;M65),"TP",IF(AND(O65="Sell",$D$24&gt;J65),"SL",IF(AND(O65="Sell",$E$24&lt;M65),"TP","")))))</f>
        <v/>
      </c>
    </row>
    <row r="66" spans="1:24">
      <c r="A66" s="125" t="n">
        <v>40</v>
      </c>
      <c r="B66" s="137" t="n"/>
      <c r="G66" s="122" t="n"/>
      <c r="H66" s="122" t="n"/>
      <c r="I66" s="122" t="n"/>
      <c r="K66" s="133" t="n"/>
      <c r="N66" s="133" t="n"/>
      <c r="S66" s="154">
        <f>IF(P66="","",IF(P66="L",ABS((M66-L66)/(L66-J66)),IF(P66="S",ABS((L66-M66)/(J66-L66)),"")))</f>
        <v/>
      </c>
      <c r="V66" s="133">
        <f>IF(U66="","",IF(U66="SL",K66,IF(U66="TP",N66,"")))</f>
        <v/>
      </c>
      <c r="X66" s="125">
        <f>IF(O66="","",IF(AND(O66="Buy",$E$24&lt;J66),"SL",IF(AND(O66="Buy",$D$24&gt;M66),"TP",IF(AND(O66="Sell",$D$24&gt;J66),"SL",IF(AND(O66="Sell",$E$24&lt;M66),"TP","")))))</f>
        <v/>
      </c>
    </row>
    <row r="67" spans="1:24">
      <c r="A67" s="125" t="n">
        <v>41</v>
      </c>
      <c r="B67" s="137" t="n"/>
      <c r="G67" s="122" t="n"/>
      <c r="H67" s="122" t="n"/>
      <c r="I67" s="122" t="n"/>
      <c r="K67" s="133" t="n"/>
      <c r="N67" s="133" t="n"/>
      <c r="S67" s="154">
        <f>IF(P67="","",IF(P67="L",ABS((M67-L67)/(L67-J67)),IF(P67="S",ABS((L67-M67)/(J67-L67)),"")))</f>
        <v/>
      </c>
      <c r="V67" s="133">
        <f>IF(U67="","",IF(U67="SL",K67,IF(U67="TP",N67,"")))</f>
        <v/>
      </c>
      <c r="X67" s="125">
        <f>IF(O67="","",IF(AND(O67="Buy",$E$24&lt;J67),"SL",IF(AND(O67="Buy",$D$24&gt;M67),"TP",IF(AND(O67="Sell",$D$24&gt;J67),"SL",IF(AND(O67="Sell",$E$24&lt;M67),"TP","")))))</f>
        <v/>
      </c>
    </row>
    <row r="68" spans="1:24">
      <c r="A68" s="125" t="n">
        <v>42</v>
      </c>
      <c r="B68" s="137" t="n"/>
      <c r="G68" s="122" t="n"/>
      <c r="H68" s="122" t="n"/>
      <c r="I68" s="122" t="n"/>
      <c r="K68" s="133" t="n"/>
      <c r="N68" s="133" t="n"/>
      <c r="S68" s="154">
        <f>IF(P68="","",IF(P68="L",ABS((M68-L68)/(L68-J68)),IF(P68="S",ABS((L68-M68)/(J68-L68)),"")))</f>
        <v/>
      </c>
      <c r="V68" s="133">
        <f>IF(U68="","",IF(U68="SL",K68,IF(U68="TP",N68,"")))</f>
        <v/>
      </c>
      <c r="X68" s="125">
        <f>IF(O68="","",IF(AND(O68="Buy",$E$24&lt;J68),"SL",IF(AND(O68="Buy",$D$24&gt;M68),"TP",IF(AND(O68="Sell",$D$24&gt;J68),"SL",IF(AND(O68="Sell",$E$24&lt;M68),"TP","")))))</f>
        <v/>
      </c>
    </row>
    <row r="69" spans="1:24">
      <c r="A69" s="125" t="n">
        <v>43</v>
      </c>
      <c r="B69" s="137" t="n"/>
      <c r="G69" s="122" t="n"/>
      <c r="H69" s="122" t="n"/>
      <c r="I69" s="122" t="n"/>
      <c r="K69" s="133" t="n"/>
      <c r="N69" s="133" t="n"/>
      <c r="S69" s="154">
        <f>IF(P69="","",IF(P69="L",ABS((M69-L69)/(L69-J69)),IF(P69="S",ABS((L69-M69)/(J69-L69)),"")))</f>
        <v/>
      </c>
      <c r="V69" s="133">
        <f>IF(U69="","",IF(U69="SL",K69,IF(U69="TP",N69,"")))</f>
        <v/>
      </c>
      <c r="X69" s="125">
        <f>IF(O69="","",IF(AND(O69="Buy",$E$24&lt;J69),"SL",IF(AND(O69="Buy",$D$24&gt;M69),"TP",IF(AND(O69="Sell",$D$24&gt;J69),"SL",IF(AND(O69="Sell",$E$24&lt;M69),"TP","")))))</f>
        <v/>
      </c>
    </row>
    <row r="70" spans="1:24">
      <c r="A70" s="125" t="n">
        <v>44</v>
      </c>
      <c r="B70" s="137" t="n"/>
      <c r="G70" s="122" t="n"/>
      <c r="H70" s="122" t="n"/>
      <c r="I70" s="122" t="n"/>
      <c r="K70" s="133" t="n"/>
      <c r="N70" s="133" t="n"/>
      <c r="S70" s="154">
        <f>IF(P70="","",IF(P70="L",ABS((M70-L70)/(L70-J70)),IF(P70="S",ABS((L70-M70)/(J70-L70)),"")))</f>
        <v/>
      </c>
      <c r="V70" s="133">
        <f>IF(U70="","",IF(U70="SL",K70,IF(U70="TP",N70,"")))</f>
        <v/>
      </c>
      <c r="X70" s="125">
        <f>IF(O70="","",IF(AND(O70="Buy",$E$24&lt;J70),"SL",IF(AND(O70="Buy",$D$24&gt;M70),"TP",IF(AND(O70="Sell",$D$24&gt;J70),"SL",IF(AND(O70="Sell",$E$24&lt;M70),"TP","")))))</f>
        <v/>
      </c>
    </row>
    <row r="71" spans="1:24">
      <c r="A71" s="125" t="n">
        <v>45</v>
      </c>
      <c r="B71" s="137" t="n"/>
      <c r="G71" s="122" t="n"/>
      <c r="H71" s="122" t="n"/>
      <c r="I71" s="122" t="n"/>
      <c r="K71" s="133" t="n"/>
      <c r="N71" s="133" t="n"/>
      <c r="S71" s="154">
        <f>IF(P71="","",IF(P71="L",ABS((M71-L71)/(L71-J71)),IF(P71="S",ABS((L71-M71)/(J71-L71)),"")))</f>
        <v/>
      </c>
      <c r="V71" s="133">
        <f>IF(U71="","",IF(U71="SL",K71,IF(U71="TP",N71,"")))</f>
        <v/>
      </c>
      <c r="X71" s="125">
        <f>IF(O71="","",IF(AND(O71="Buy",$E$24&lt;J71),"SL",IF(AND(O71="Buy",$D$24&gt;M71),"TP",IF(AND(O71="Sell",$D$24&gt;J71),"SL",IF(AND(O71="Sell",$E$24&lt;M71),"TP","")))))</f>
        <v/>
      </c>
    </row>
    <row r="72" spans="1:24">
      <c r="A72" s="125" t="n">
        <v>46</v>
      </c>
      <c r="B72" s="137" t="n"/>
      <c r="G72" s="122" t="n"/>
      <c r="H72" s="122" t="n"/>
      <c r="I72" s="122" t="n"/>
      <c r="K72" s="133" t="n"/>
      <c r="N72" s="133" t="n"/>
      <c r="S72" s="154">
        <f>IF(P72="","",IF(P72="L",ABS((M72-L72)/(L72-J72)),IF(P72="S",ABS((L72-M72)/(J72-L72)),"")))</f>
        <v/>
      </c>
      <c r="V72" s="133">
        <f>IF(U72="","",IF(U72="SL",K72,IF(U72="TP",N72,"")))</f>
        <v/>
      </c>
      <c r="X72" s="125">
        <f>IF(O72="","",IF(AND(O72="Buy",$E$24&lt;J72),"SL",IF(AND(O72="Buy",$D$24&gt;M72),"TP",IF(AND(O72="Sell",$D$24&gt;J72),"SL",IF(AND(O72="Sell",$E$24&lt;M72),"TP","")))))</f>
        <v/>
      </c>
    </row>
    <row r="73" spans="1:24">
      <c r="A73" s="125" t="n">
        <v>47</v>
      </c>
      <c r="B73" s="137" t="n"/>
      <c r="G73" s="122" t="n"/>
      <c r="H73" s="122" t="n"/>
      <c r="I73" s="122" t="n"/>
      <c r="K73" s="133" t="n"/>
      <c r="N73" s="133" t="n"/>
      <c r="S73" s="154">
        <f>IF(P73="","",IF(P73="L",ABS((M73-L73)/(L73-J73)),IF(P73="S",ABS((L73-M73)/(J73-L73)),"")))</f>
        <v/>
      </c>
      <c r="V73" s="133">
        <f>IF(U73="","",IF(U73="SL",K73,IF(U73="TP",N73,"")))</f>
        <v/>
      </c>
      <c r="X73" s="125">
        <f>IF(O73="","",IF(AND(O73="Buy",$E$24&lt;J73),"SL",IF(AND(O73="Buy",$D$24&gt;M73),"TP",IF(AND(O73="Sell",$D$24&gt;J73),"SL",IF(AND(O73="Sell",$E$24&lt;M73),"TP","")))))</f>
        <v/>
      </c>
    </row>
    <row r="74" spans="1:24">
      <c r="A74" s="125" t="n">
        <v>48</v>
      </c>
      <c r="B74" s="137" t="n"/>
      <c r="G74" s="122" t="n"/>
      <c r="H74" s="122" t="n"/>
      <c r="I74" s="122" t="n"/>
      <c r="K74" s="133" t="n"/>
      <c r="N74" s="133" t="n"/>
      <c r="S74" s="154">
        <f>IF(P74="","",IF(P74="L",ABS((M74-L74)/(L74-J74)),IF(P74="S",ABS((L74-M74)/(J74-L74)),"")))</f>
        <v/>
      </c>
      <c r="V74" s="133">
        <f>IF(U74="","",IF(U74="SL",K74,IF(U74="TP",N74,"")))</f>
        <v/>
      </c>
      <c r="X74" s="125">
        <f>IF(O74="","",IF(AND(O74="Buy",$E$24&lt;J74),"SL",IF(AND(O74="Buy",$D$24&gt;M74),"TP",IF(AND(O74="Sell",$D$24&gt;J74),"SL",IF(AND(O74="Sell",$E$24&lt;M74),"TP","")))))</f>
        <v/>
      </c>
    </row>
    <row r="75" spans="1:24">
      <c r="A75" s="125" t="n">
        <v>49</v>
      </c>
      <c r="B75" s="137" t="n"/>
      <c r="G75" s="122" t="n"/>
      <c r="H75" s="122" t="n"/>
      <c r="I75" s="122" t="n"/>
      <c r="K75" s="133" t="n"/>
      <c r="N75" s="133" t="n"/>
      <c r="S75" s="154">
        <f>IF(P75="","",IF(P75="L",ABS((M75-L75)/(L75-J75)),IF(P75="S",ABS((L75-M75)/(J75-L75)),"")))</f>
        <v/>
      </c>
      <c r="V75" s="133">
        <f>IF(U75="","",IF(U75="SL",K75,IF(U75="TP",N75,"")))</f>
        <v/>
      </c>
      <c r="X75" s="125">
        <f>IF(O75="","",IF(AND(O75="Buy",$E$24&lt;J75),"SL",IF(AND(O75="Buy",$D$24&gt;M75),"TP",IF(AND(O75="Sell",$D$24&gt;J75),"SL",IF(AND(O75="Sell",$E$24&lt;M75),"TP","")))))</f>
        <v/>
      </c>
    </row>
    <row r="76" spans="1:24">
      <c r="A76" s="125" t="n">
        <v>50</v>
      </c>
      <c r="B76" s="137" t="n"/>
      <c r="G76" s="122" t="n"/>
      <c r="H76" s="122" t="n"/>
      <c r="I76" s="122" t="n"/>
      <c r="K76" s="133" t="n"/>
      <c r="N76" s="133" t="n"/>
      <c r="S76" s="154">
        <f>IF(P76="","",IF(P76="L",ABS((M76-L76)/(L76-J76)),IF(P76="S",ABS((L76-M76)/(J76-L76)),"")))</f>
        <v/>
      </c>
      <c r="V76" s="133">
        <f>IF(U76="","",IF(U76="SL",K76,IF(U76="TP",N76,"")))</f>
        <v/>
      </c>
      <c r="X76" s="125">
        <f>IF(O76="","",IF(AND(O76="Buy",$E$24&lt;J76),"SL",IF(AND(O76="Buy",$D$24&gt;M76),"TP",IF(AND(O76="Sell",$D$24&gt;J76),"SL",IF(AND(O76="Sell",$E$24&lt;M76),"TP","")))))</f>
        <v/>
      </c>
    </row>
    <row r="77" spans="1:24">
      <c r="A77" s="125" t="n">
        <v>51</v>
      </c>
      <c r="B77" s="137" t="n"/>
      <c r="G77" s="122" t="n"/>
      <c r="H77" s="122" t="n"/>
      <c r="I77" s="122" t="n"/>
      <c r="K77" s="133" t="n"/>
      <c r="N77" s="133" t="n"/>
      <c r="S77" s="154">
        <f>IF(P77="","",IF(P77="L",ABS((M77-L77)/(L77-J77)),IF(P77="S",ABS((L77-M77)/(J77-L77)),"")))</f>
        <v/>
      </c>
      <c r="V77" s="133">
        <f>IF(U77="","",IF(U77="SL",K77,IF(U77="TP",N77,"")))</f>
        <v/>
      </c>
      <c r="X77" s="125">
        <f>IF(O77="","",IF(AND(O77="Buy",$E$24&lt;J77),"SL",IF(AND(O77="Buy",$D$24&gt;M77),"TP",IF(AND(O77="Sell",$D$24&gt;J77),"SL",IF(AND(O77="Sell",$E$24&lt;M77),"TP","")))))</f>
        <v/>
      </c>
    </row>
    <row r="78" spans="1:24">
      <c r="A78" s="125" t="n">
        <v>52</v>
      </c>
      <c r="B78" s="137" t="n"/>
      <c r="G78" s="122" t="n"/>
      <c r="H78" s="122" t="n"/>
      <c r="I78" s="122" t="n"/>
      <c r="K78" s="133" t="n"/>
      <c r="N78" s="133" t="n"/>
      <c r="S78" s="154">
        <f>IF(P78="","",IF(P78="L",ABS((M78-L78)/(L78-J78)),IF(P78="S",ABS((L78-M78)/(J78-L78)),"")))</f>
        <v/>
      </c>
      <c r="V78" s="133">
        <f>IF(U78="","",IF(U78="SL",K78,IF(U78="TP",N78,"")))</f>
        <v/>
      </c>
      <c r="X78" s="125">
        <f>IF(O78="","",IF(AND(O78="Buy",$E$24&lt;J78),"SL",IF(AND(O78="Buy",$D$24&gt;M78),"TP",IF(AND(O78="Sell",$D$24&gt;J78),"SL",IF(AND(O78="Sell",$E$24&lt;M78),"TP","")))))</f>
        <v/>
      </c>
    </row>
    <row r="79" spans="1:24">
      <c r="A79" s="125" t="n">
        <v>53</v>
      </c>
      <c r="B79" s="137" t="n"/>
      <c r="G79" s="122" t="n"/>
      <c r="H79" s="122" t="n"/>
      <c r="I79" s="122" t="n"/>
      <c r="K79" s="133" t="n"/>
      <c r="N79" s="133" t="n"/>
      <c r="S79" s="154">
        <f>IF(P79="","",IF(P79="L",ABS((M79-L79)/(L79-J79)),IF(P79="S",ABS((L79-M79)/(J79-L79)),"")))</f>
        <v/>
      </c>
      <c r="V79" s="133">
        <f>IF(U79="","",IF(U79="SL",K79,IF(U79="TP",N79,"")))</f>
        <v/>
      </c>
      <c r="X79" s="125">
        <f>IF(O79="","",IF(AND(O79="Buy",$E$24&lt;J79),"SL",IF(AND(O79="Buy",$D$24&gt;M79),"TP",IF(AND(O79="Sell",$D$24&gt;J79),"SL",IF(AND(O79="Sell",$E$24&lt;M79),"TP","")))))</f>
        <v/>
      </c>
    </row>
    <row r="80" spans="1:24">
      <c r="A80" s="125" t="n">
        <v>54</v>
      </c>
      <c r="B80" s="137" t="n"/>
      <c r="G80" s="122" t="n"/>
      <c r="H80" s="122" t="n"/>
      <c r="I80" s="122" t="n"/>
      <c r="K80" s="133" t="n"/>
      <c r="N80" s="133" t="n"/>
      <c r="S80" s="154">
        <f>IF(P80="","",IF(P80="L",ABS((M80-L80)/(L80-J80)),IF(P80="S",ABS((L80-M80)/(J80-L80)),"")))</f>
        <v/>
      </c>
      <c r="V80" s="133">
        <f>IF(U80="","",IF(U80="SL",K80,IF(U80="TP",N80,"")))</f>
        <v/>
      </c>
      <c r="X80" s="125">
        <f>IF(O80="","",IF(AND(O80="Buy",$E$24&lt;J80),"SL",IF(AND(O80="Buy",$D$24&gt;M80),"TP",IF(AND(O80="Sell",$D$24&gt;J80),"SL",IF(AND(O80="Sell",$E$24&lt;M80),"TP","")))))</f>
        <v/>
      </c>
    </row>
    <row r="81" spans="1:24">
      <c r="A81" s="125" t="n">
        <v>55</v>
      </c>
      <c r="B81" s="137" t="n"/>
      <c r="G81" s="122" t="n"/>
      <c r="H81" s="122" t="n"/>
      <c r="I81" s="122" t="n"/>
      <c r="K81" s="133" t="n"/>
      <c r="N81" s="133" t="n"/>
      <c r="S81" s="154">
        <f>IF(P81="","",IF(P81="L",ABS((M81-L81)/(L81-J81)),IF(P81="S",ABS((L81-M81)/(J81-L81)),"")))</f>
        <v/>
      </c>
      <c r="V81" s="133">
        <f>IF(U81="","",IF(U81="SL",K81,IF(U81="TP",N81,"")))</f>
        <v/>
      </c>
      <c r="X81" s="125">
        <f>IF(O81="","",IF(AND(O81="Buy",$E$24&lt;J81),"SL",IF(AND(O81="Buy",$D$24&gt;M81),"TP",IF(AND(O81="Sell",$D$24&gt;J81),"SL",IF(AND(O81="Sell",$E$24&lt;M81),"TP","")))))</f>
        <v/>
      </c>
    </row>
    <row r="82" spans="1:24">
      <c r="A82" s="125" t="n">
        <v>56</v>
      </c>
      <c r="B82" s="137" t="n"/>
      <c r="G82" s="122" t="n"/>
      <c r="H82" s="122" t="n"/>
      <c r="I82" s="122" t="n"/>
      <c r="K82" s="133" t="n"/>
      <c r="N82" s="133" t="n"/>
      <c r="S82" s="154">
        <f>IF(P82="","",IF(P82="L",ABS((M82-L82)/(L82-J82)),IF(P82="S",ABS((L82-M82)/(J82-L82)),"")))</f>
        <v/>
      </c>
      <c r="V82" s="133">
        <f>IF(U82="","",IF(U82="SL",K82,IF(U82="TP",N82,"")))</f>
        <v/>
      </c>
      <c r="X82" s="125">
        <f>IF(O82="","",IF(AND(O82="Buy",$E$24&lt;J82),"SL",IF(AND(O82="Buy",$D$24&gt;M82),"TP",IF(AND(O82="Sell",$D$24&gt;J82),"SL",IF(AND(O82="Sell",$E$24&lt;M82),"TP","")))))</f>
        <v/>
      </c>
    </row>
    <row r="83" spans="1:24">
      <c r="A83" s="125" t="n">
        <v>57</v>
      </c>
      <c r="B83" s="137" t="n"/>
      <c r="G83" s="122" t="n"/>
      <c r="H83" s="122" t="n"/>
      <c r="I83" s="122" t="n"/>
      <c r="K83" s="133" t="n"/>
      <c r="N83" s="133" t="n"/>
      <c r="S83" s="154">
        <f>IF(P83="","",IF(P83="L",ABS((M83-L83)/(L83-J83)),IF(P83="S",ABS((L83-M83)/(J83-L83)),"")))</f>
        <v/>
      </c>
      <c r="V83" s="133">
        <f>IF(U83="","",IF(U83="SL",K83,IF(U83="TP",N83,"")))</f>
        <v/>
      </c>
      <c r="X83" s="125">
        <f>IF(O83="","",IF(AND(O83="Buy",$E$24&lt;J83),"SL",IF(AND(O83="Buy",$D$24&gt;M83),"TP",IF(AND(O83="Sell",$D$24&gt;J83),"SL",IF(AND(O83="Sell",$E$24&lt;M83),"TP","")))))</f>
        <v/>
      </c>
    </row>
    <row r="84" spans="1:24">
      <c r="A84" s="125" t="n">
        <v>58</v>
      </c>
      <c r="B84" s="137" t="n"/>
      <c r="G84" s="122" t="n"/>
      <c r="H84" s="122" t="n"/>
      <c r="I84" s="122" t="n"/>
      <c r="K84" s="133" t="n"/>
      <c r="N84" s="133" t="n"/>
      <c r="S84" s="154">
        <f>IF(P84="","",IF(P84="L",ABS((M84-L84)/(L84-J84)),IF(P84="S",ABS((L84-M84)/(J84-L84)),"")))</f>
        <v/>
      </c>
      <c r="V84" s="133">
        <f>IF(U84="","",IF(U84="SL",K84,IF(U84="TP",N84,"")))</f>
        <v/>
      </c>
      <c r="X84" s="125">
        <f>IF(O84="","",IF(AND(O84="Buy",$E$24&lt;J84),"SL",IF(AND(O84="Buy",$D$24&gt;M84),"TP",IF(AND(O84="Sell",$D$24&gt;J84),"SL",IF(AND(O84="Sell",$E$24&lt;M84),"TP","")))))</f>
        <v/>
      </c>
    </row>
    <row r="85" spans="1:24">
      <c r="A85" s="125" t="n">
        <v>59</v>
      </c>
      <c r="B85" s="137" t="n"/>
      <c r="G85" s="122" t="n"/>
      <c r="H85" s="122" t="n"/>
      <c r="I85" s="122" t="n"/>
      <c r="K85" s="133" t="n"/>
      <c r="N85" s="133" t="n"/>
      <c r="S85" s="154">
        <f>IF(P85="","",IF(P85="L",ABS((M85-L85)/(L85-J85)),IF(P85="S",ABS((L85-M85)/(J85-L85)),"")))</f>
        <v/>
      </c>
      <c r="V85" s="133">
        <f>IF(U85="","",IF(U85="SL",K85,IF(U85="TP",N85,"")))</f>
        <v/>
      </c>
      <c r="X85" s="125">
        <f>IF(O85="","",IF(AND(O85="Buy",$E$24&lt;J85),"SL",IF(AND(O85="Buy",$D$24&gt;M85),"TP",IF(AND(O85="Sell",$D$24&gt;J85),"SL",IF(AND(O85="Sell",$E$24&lt;M85),"TP","")))))</f>
        <v/>
      </c>
    </row>
    <row r="86" spans="1:24">
      <c r="A86" s="125" t="n">
        <v>60</v>
      </c>
      <c r="B86" s="137" t="n"/>
      <c r="G86" s="122" t="n"/>
      <c r="H86" s="122" t="n"/>
      <c r="I86" s="122" t="n"/>
      <c r="K86" s="133" t="n"/>
      <c r="N86" s="133" t="n"/>
      <c r="S86" s="154">
        <f>IF(P86="","",IF(P86="L",ABS((M86-L86)/(L86-J86)),IF(P86="S",ABS((L86-M86)/(J86-L86)),"")))</f>
        <v/>
      </c>
      <c r="V86" s="133">
        <f>IF(U86="","",IF(U86="SL",K86,IF(U86="TP",N86,"")))</f>
        <v/>
      </c>
      <c r="X86" s="125">
        <f>IF(O86="","",IF(AND(O86="Buy",$E$24&lt;J86),"SL",IF(AND(O86="Buy",$D$24&gt;M86),"TP",IF(AND(O86="Sell",$D$24&gt;J86),"SL",IF(AND(O86="Sell",$E$24&lt;M86),"TP","")))))</f>
        <v/>
      </c>
    </row>
    <row r="87" spans="1:24">
      <c r="A87" s="125" t="n">
        <v>61</v>
      </c>
      <c r="B87" s="137" t="n"/>
      <c r="G87" s="122" t="n"/>
      <c r="H87" s="122" t="n"/>
      <c r="I87" s="122" t="n"/>
      <c r="K87" s="133" t="n"/>
      <c r="N87" s="133" t="n"/>
      <c r="S87" s="154">
        <f>IF(P87="","",IF(P87="L",ABS((M87-L87)/(L87-J87)),IF(P87="S",ABS((L87-M87)/(J87-L87)),"")))</f>
        <v/>
      </c>
      <c r="V87" s="133">
        <f>IF(U87="","",IF(U87="SL",K87,IF(U87="TP",N87,"")))</f>
        <v/>
      </c>
      <c r="X87" s="125">
        <f>IF(O87="","",IF(AND(O87="Buy",$E$24&lt;J87),"SL",IF(AND(O87="Buy",$D$24&gt;M87),"TP",IF(AND(O87="Sell",$D$24&gt;J87),"SL",IF(AND(O87="Sell",$E$24&lt;M87),"TP","")))))</f>
        <v/>
      </c>
    </row>
    <row r="88" spans="1:24">
      <c r="A88" s="125" t="n">
        <v>62</v>
      </c>
      <c r="B88" s="137" t="n"/>
      <c r="G88" s="122" t="n"/>
      <c r="H88" s="122" t="n"/>
      <c r="I88" s="122" t="n"/>
      <c r="K88" s="133" t="n"/>
      <c r="N88" s="133" t="n"/>
      <c r="S88" s="154">
        <f>IF(P88="","",IF(P88="L",ABS((M88-L88)/(L88-J88)),IF(P88="S",ABS((L88-M88)/(J88-L88)),"")))</f>
        <v/>
      </c>
      <c r="V88" s="133">
        <f>IF(U88="","",IF(U88="SL",K88,IF(U88="TP",N88,"")))</f>
        <v/>
      </c>
      <c r="X88" s="125">
        <f>IF(O88="","",IF(AND(O88="Buy",$E$24&lt;J88),"SL",IF(AND(O88="Buy",$D$24&gt;M88),"TP",IF(AND(O88="Sell",$D$24&gt;J88),"SL",IF(AND(O88="Sell",$E$24&lt;M88),"TP","")))))</f>
        <v/>
      </c>
    </row>
    <row r="89" spans="1:24">
      <c r="A89" s="125" t="n">
        <v>63</v>
      </c>
      <c r="B89" s="137" t="n"/>
      <c r="G89" s="122" t="n"/>
      <c r="H89" s="122" t="n"/>
      <c r="I89" s="122" t="n"/>
      <c r="K89" s="133" t="n"/>
      <c r="N89" s="133" t="n"/>
      <c r="S89" s="154">
        <f>IF(P89="","",IF(P89="L",ABS((M89-L89)/(L89-J89)),IF(P89="S",ABS((L89-M89)/(J89-L89)),"")))</f>
        <v/>
      </c>
      <c r="V89" s="133">
        <f>IF(U89="","",IF(U89="SL",K89,IF(U89="TP",N89,"")))</f>
        <v/>
      </c>
      <c r="X89" s="125">
        <f>IF(O89="","",IF(AND(O89="Buy",$E$24&lt;J89),"SL",IF(AND(O89="Buy",$D$24&gt;M89),"TP",IF(AND(O89="Sell",$D$24&gt;J89),"SL",IF(AND(O89="Sell",$E$24&lt;M89),"TP","")))))</f>
        <v/>
      </c>
    </row>
    <row r="90" spans="1:24">
      <c r="A90" s="125" t="n">
        <v>64</v>
      </c>
      <c r="B90" s="137" t="n"/>
      <c r="G90" s="122" t="n"/>
      <c r="H90" s="122" t="n"/>
      <c r="I90" s="122" t="n"/>
      <c r="K90" s="133" t="n"/>
      <c r="N90" s="133" t="n"/>
      <c r="S90" s="154">
        <f>IF(P90="","",IF(P90="L",ABS((M90-L90)/(L90-J90)),IF(P90="S",ABS((L90-M90)/(J90-L90)),"")))</f>
        <v/>
      </c>
      <c r="V90" s="133">
        <f>IF(U90="","",IF(U90="SL",K90,IF(U90="TP",N90,"")))</f>
        <v/>
      </c>
      <c r="X90" s="125">
        <f>IF(O90="","",IF(AND(O90="Buy",$E$24&lt;J90),"SL",IF(AND(O90="Buy",$D$24&gt;M90),"TP",IF(AND(O90="Sell",$D$24&gt;J90),"SL",IF(AND(O90="Sell",$E$24&lt;M90),"TP","")))))</f>
        <v/>
      </c>
    </row>
    <row r="91" spans="1:24">
      <c r="A91" s="125" t="n">
        <v>65</v>
      </c>
      <c r="B91" s="137" t="n"/>
      <c r="G91" s="122" t="n"/>
      <c r="H91" s="122" t="n"/>
      <c r="I91" s="122" t="n"/>
      <c r="K91" s="133" t="n"/>
      <c r="N91" s="133" t="n"/>
      <c r="S91" s="154">
        <f>IF(P91="","",IF(P91="L",ABS((M91-L91)/(L91-J91)),IF(P91="S",ABS((L91-M91)/(J91-L91)),"")))</f>
        <v/>
      </c>
      <c r="V91" s="133">
        <f>IF(U91="","",IF(U91="SL",K91,IF(U91="TP",N91,"")))</f>
        <v/>
      </c>
      <c r="X91" s="125">
        <f>IF(O91="","",IF(AND(O91="Buy",$E$24&lt;J91),"SL",IF(AND(O91="Buy",$D$24&gt;M91),"TP",IF(AND(O91="Sell",$D$24&gt;J91),"SL",IF(AND(O91="Sell",$E$24&lt;M91),"TP","")))))</f>
        <v/>
      </c>
    </row>
    <row r="92" spans="1:24">
      <c r="A92" s="125" t="n">
        <v>66</v>
      </c>
      <c r="B92" s="137" t="n"/>
      <c r="G92" s="122" t="n"/>
      <c r="H92" s="122" t="n"/>
      <c r="I92" s="122" t="n"/>
      <c r="K92" s="133" t="n"/>
      <c r="N92" s="133" t="n"/>
      <c r="S92" s="154">
        <f>IF(P92="","",IF(P92="L",ABS((M92-L92)/(L92-J92)),IF(P92="S",ABS((L92-M92)/(J92-L92)),"")))</f>
        <v/>
      </c>
      <c r="V92" s="133">
        <f>IF(U92="","",IF(U92="SL",K92,IF(U92="TP",N92,"")))</f>
        <v/>
      </c>
      <c r="X92" s="125">
        <f>IF(O92="","",IF(AND(O92="Buy",$E$24&lt;J92),"SL",IF(AND(O92="Buy",$D$24&gt;M92),"TP",IF(AND(O92="Sell",$D$24&gt;J92),"SL",IF(AND(O92="Sell",$E$24&lt;M92),"TP","")))))</f>
        <v/>
      </c>
    </row>
    <row r="93" spans="1:24">
      <c r="A93" s="125" t="n">
        <v>67</v>
      </c>
      <c r="B93" s="137" t="n"/>
      <c r="G93" s="122" t="n"/>
      <c r="H93" s="122" t="n"/>
      <c r="I93" s="122" t="n"/>
      <c r="K93" s="133" t="n"/>
      <c r="N93" s="133" t="n"/>
      <c r="S93" s="154">
        <f>IF(P93="","",IF(P93="L",ABS((M93-L93)/(L93-J93)),IF(P93="S",ABS((L93-M93)/(J93-L93)),"")))</f>
        <v/>
      </c>
      <c r="V93" s="133">
        <f>IF(U93="","",IF(U93="SL",K93,IF(U93="TP",N93,"")))</f>
        <v/>
      </c>
      <c r="X93" s="125">
        <f>IF(O93="","",IF(AND(O93="Buy",$E$24&lt;J93),"SL",IF(AND(O93="Buy",$D$24&gt;M93),"TP",IF(AND(O93="Sell",$D$24&gt;J93),"SL",IF(AND(O93="Sell",$E$24&lt;M93),"TP","")))))</f>
        <v/>
      </c>
    </row>
    <row r="94" spans="1:24">
      <c r="A94" s="125" t="n">
        <v>68</v>
      </c>
      <c r="B94" s="137" t="n"/>
      <c r="G94" s="122" t="n"/>
      <c r="H94" s="122" t="n"/>
      <c r="I94" s="122" t="n"/>
      <c r="K94" s="133" t="n"/>
      <c r="N94" s="133" t="n"/>
      <c r="S94" s="154">
        <f>IF(P94="","",IF(P94="L",ABS((M94-L94)/(L94-J94)),IF(P94="S",ABS((L94-M94)/(J94-L94)),"")))</f>
        <v/>
      </c>
      <c r="V94" s="133">
        <f>IF(U94="","",IF(U94="SL",K94,IF(U94="TP",N94,"")))</f>
        <v/>
      </c>
      <c r="X94" s="125">
        <f>IF(O94="","",IF(AND(O94="Buy",$E$24&lt;J94),"SL",IF(AND(O94="Buy",$D$24&gt;M94),"TP",IF(AND(O94="Sell",$D$24&gt;J94),"SL",IF(AND(O94="Sell",$E$24&lt;M94),"TP","")))))</f>
        <v/>
      </c>
    </row>
    <row r="95" spans="1:24">
      <c r="A95" s="125" t="n">
        <v>69</v>
      </c>
      <c r="B95" s="137" t="n"/>
      <c r="G95" s="122" t="n"/>
      <c r="H95" s="122" t="n"/>
      <c r="I95" s="122" t="n"/>
      <c r="K95" s="133" t="n"/>
      <c r="N95" s="133" t="n"/>
      <c r="S95" s="154">
        <f>IF(P95="","",IF(P95="L",ABS((M95-L95)/(L95-J95)),IF(P95="S",ABS((L95-M95)/(J95-L95)),"")))</f>
        <v/>
      </c>
      <c r="V95" s="133">
        <f>IF(U95="","",IF(U95="SL",K95,IF(U95="TP",N95,"")))</f>
        <v/>
      </c>
      <c r="X95" s="125">
        <f>IF(O95="","",IF(AND(O95="Buy",$E$24&lt;J95),"SL",IF(AND(O95="Buy",$D$24&gt;M95),"TP",IF(AND(O95="Sell",$D$24&gt;J95),"SL",IF(AND(O95="Sell",$E$24&lt;M95),"TP","")))))</f>
        <v/>
      </c>
    </row>
    <row r="96" spans="1:24">
      <c r="A96" s="125" t="n">
        <v>70</v>
      </c>
      <c r="B96" s="137" t="n"/>
      <c r="G96" s="122" t="n"/>
      <c r="H96" s="122" t="n"/>
      <c r="I96" s="122" t="n"/>
      <c r="K96" s="133" t="n"/>
      <c r="N96" s="133" t="n"/>
      <c r="S96" s="154">
        <f>IF(P96="","",IF(P96="L",ABS((M96-L96)/(L96-J96)),IF(P96="S",ABS((L96-M96)/(J96-L96)),"")))</f>
        <v/>
      </c>
      <c r="V96" s="133">
        <f>IF(U96="","",IF(U96="SL",K96,IF(U96="TP",N96,"")))</f>
        <v/>
      </c>
      <c r="X96" s="125">
        <f>IF(O96="","",IF(AND(O96="Buy",$E$24&lt;J96),"SL",IF(AND(O96="Buy",$D$24&gt;M96),"TP",IF(AND(O96="Sell",$D$24&gt;J96),"SL",IF(AND(O96="Sell",$E$24&lt;M96),"TP","")))))</f>
        <v/>
      </c>
    </row>
    <row r="97" spans="1:24">
      <c r="A97" s="125" t="n">
        <v>71</v>
      </c>
      <c r="B97" s="137" t="n"/>
      <c r="G97" s="122" t="n"/>
      <c r="H97" s="122" t="n"/>
      <c r="I97" s="122" t="n"/>
      <c r="K97" s="133" t="n"/>
      <c r="N97" s="133" t="n"/>
      <c r="S97" s="154">
        <f>IF(P97="","",IF(P97="L",ABS((M97-L97)/(L97-J97)),IF(P97="S",ABS((L97-M97)/(J97-L97)),"")))</f>
        <v/>
      </c>
      <c r="V97" s="133">
        <f>IF(U97="","",IF(U97="SL",K97,IF(U97="TP",N97,"")))</f>
        <v/>
      </c>
      <c r="X97" s="125">
        <f>IF(O97="","",IF(AND(O97="Buy",$E$24&lt;J97),"SL",IF(AND(O97="Buy",$D$24&gt;M97),"TP",IF(AND(O97="Sell",$D$24&gt;J97),"SL",IF(AND(O97="Sell",$E$24&lt;M97),"TP","")))))</f>
        <v/>
      </c>
    </row>
    <row r="98" spans="1:24">
      <c r="A98" s="125" t="n">
        <v>72</v>
      </c>
      <c r="B98" s="137" t="n"/>
      <c r="G98" s="122" t="n"/>
      <c r="H98" s="122" t="n"/>
      <c r="I98" s="122" t="n"/>
      <c r="K98" s="133" t="n"/>
      <c r="N98" s="133" t="n"/>
      <c r="S98" s="154">
        <f>IF(P98="","",IF(P98="L",ABS((M98-L98)/(L98-J98)),IF(P98="S",ABS((L98-M98)/(J98-L98)),"")))</f>
        <v/>
      </c>
      <c r="V98" s="133">
        <f>IF(U98="","",IF(U98="SL",K98,IF(U98="TP",N98,"")))</f>
        <v/>
      </c>
      <c r="X98" s="125">
        <f>IF(O98="","",IF(AND(O98="Buy",$E$24&lt;J98),"SL",IF(AND(O98="Buy",$D$24&gt;M98),"TP",IF(AND(O98="Sell",$D$24&gt;J98),"SL",IF(AND(O98="Sell",$E$24&lt;M98),"TP","")))))</f>
        <v/>
      </c>
    </row>
    <row r="99" spans="1:24">
      <c r="A99" s="125" t="n">
        <v>73</v>
      </c>
      <c r="B99" s="137" t="n"/>
      <c r="G99" s="122" t="n"/>
      <c r="H99" s="122" t="n"/>
      <c r="I99" s="122" t="n"/>
      <c r="K99" s="133" t="n"/>
      <c r="N99" s="133" t="n"/>
      <c r="S99" s="154">
        <f>IF(P99="","",IF(P99="L",ABS((M99-L99)/(L99-J99)),IF(P99="S",ABS((L99-M99)/(J99-L99)),"")))</f>
        <v/>
      </c>
      <c r="V99" s="133">
        <f>IF(U99="","",IF(U99="SL",K99,IF(U99="TP",N99,"")))</f>
        <v/>
      </c>
      <c r="X99" s="125">
        <f>IF(O99="","",IF(AND(O99="Buy",$E$24&lt;J99),"SL",IF(AND(O99="Buy",$D$24&gt;M99),"TP",IF(AND(O99="Sell",$D$24&gt;J99),"SL",IF(AND(O99="Sell",$E$24&lt;M99),"TP","")))))</f>
        <v/>
      </c>
    </row>
    <row r="100" spans="1:24">
      <c r="A100" s="125" t="n">
        <v>74</v>
      </c>
      <c r="B100" s="137" t="n"/>
      <c r="G100" s="122" t="n"/>
      <c r="H100" s="122" t="n"/>
      <c r="I100" s="122" t="n"/>
      <c r="K100" s="133" t="n"/>
      <c r="N100" s="133" t="n"/>
      <c r="S100" s="154">
        <f>IF(P100="","",IF(P100="L",ABS((M100-L100)/(L100-J100)),IF(P100="S",ABS((L100-M100)/(J100-L100)),"")))</f>
        <v/>
      </c>
      <c r="V100" s="133">
        <f>IF(U100="","",IF(U100="SL",K100,IF(U100="TP",N100,"")))</f>
        <v/>
      </c>
      <c r="X100" s="125">
        <f>IF(O100="","",IF(AND(O100="Buy",$E$24&lt;J100),"SL",IF(AND(O100="Buy",$D$24&gt;M100),"TP",IF(AND(O100="Sell",$D$24&gt;J100),"SL",IF(AND(O100="Sell",$E$24&lt;M100),"TP","")))))</f>
        <v/>
      </c>
    </row>
    <row r="101" spans="1:24">
      <c r="A101" s="125" t="n">
        <v>75</v>
      </c>
      <c r="B101" s="137" t="n"/>
      <c r="G101" s="122" t="n"/>
      <c r="H101" s="122" t="n"/>
      <c r="I101" s="122" t="n"/>
      <c r="K101" s="133" t="n"/>
      <c r="N101" s="133" t="n"/>
      <c r="S101" s="154">
        <f>IF(P101="","",IF(P101="L",ABS((M101-L101)/(L101-J101)),IF(P101="S",ABS((L101-M101)/(J101-L101)),"")))</f>
        <v/>
      </c>
      <c r="V101" s="133">
        <f>IF(U101="","",IF(U101="SL",K101,IF(U101="TP",N101,"")))</f>
        <v/>
      </c>
      <c r="X101" s="125">
        <f>IF(O101="","",IF(AND(O101="Buy",$E$24&lt;J101),"SL",IF(AND(O101="Buy",$D$24&gt;M101),"TP",IF(AND(O101="Sell",$D$24&gt;J101),"SL",IF(AND(O101="Sell",$E$24&lt;M101),"TP","")))))</f>
        <v/>
      </c>
    </row>
    <row r="102" spans="1:24">
      <c r="A102" s="125" t="n">
        <v>76</v>
      </c>
      <c r="B102" s="137" t="n"/>
      <c r="G102" s="122" t="n"/>
      <c r="H102" s="122" t="n"/>
      <c r="I102" s="122" t="n"/>
      <c r="K102" s="133" t="n"/>
      <c r="N102" s="133" t="n"/>
      <c r="S102" s="154">
        <f>IF(P102="","",IF(P102="L",ABS((M102-L102)/(L102-J102)),IF(P102="S",ABS((L102-M102)/(J102-L102)),"")))</f>
        <v/>
      </c>
      <c r="V102" s="133">
        <f>IF(U102="","",IF(U102="SL",K102,IF(U102="TP",N102,"")))</f>
        <v/>
      </c>
      <c r="X102" s="125">
        <f>IF(O102="","",IF(AND(O102="Buy",$E$24&lt;J102),"SL",IF(AND(O102="Buy",$D$24&gt;M102),"TP",IF(AND(O102="Sell",$D$24&gt;J102),"SL",IF(AND(O102="Sell",$E$24&lt;M102),"TP","")))))</f>
        <v/>
      </c>
    </row>
    <row r="103" spans="1:24">
      <c r="A103" s="125" t="n">
        <v>77</v>
      </c>
      <c r="B103" s="137" t="n"/>
      <c r="G103" s="122" t="n"/>
      <c r="H103" s="122" t="n"/>
      <c r="I103" s="122" t="n"/>
      <c r="K103" s="133" t="n"/>
      <c r="N103" s="133" t="n"/>
      <c r="S103" s="154">
        <f>IF(P103="","",IF(P103="L",ABS((M103-L103)/(L103-J103)),IF(P103="S",ABS((L103-M103)/(J103-L103)),"")))</f>
        <v/>
      </c>
      <c r="V103" s="133">
        <f>IF(U103="","",IF(U103="SL",K103,IF(U103="TP",N103,"")))</f>
        <v/>
      </c>
      <c r="X103" s="125">
        <f>IF(O103="","",IF(AND(O103="Buy",$E$24&lt;J103),"SL",IF(AND(O103="Buy",$D$24&gt;M103),"TP",IF(AND(O103="Sell",$D$24&gt;J103),"SL",IF(AND(O103="Sell",$E$24&lt;M103),"TP","")))))</f>
        <v/>
      </c>
    </row>
    <row r="104" spans="1:24">
      <c r="A104" s="125" t="n">
        <v>78</v>
      </c>
      <c r="B104" s="137" t="n"/>
      <c r="G104" s="122" t="n"/>
      <c r="H104" s="122" t="n"/>
      <c r="I104" s="122" t="n"/>
      <c r="K104" s="133" t="n"/>
      <c r="N104" s="133" t="n"/>
      <c r="S104" s="154">
        <f>IF(P104="","",IF(P104="L",ABS((M104-L104)/(L104-J104)),IF(P104="S",ABS((L104-M104)/(J104-L104)),"")))</f>
        <v/>
      </c>
      <c r="V104" s="133">
        <f>IF(U104="","",IF(U104="SL",K104,IF(U104="TP",N104,"")))</f>
        <v/>
      </c>
      <c r="X104" s="125">
        <f>IF(O104="","",IF(AND(O104="Buy",$E$24&lt;J104),"SL",IF(AND(O104="Buy",$D$24&gt;M104),"TP",IF(AND(O104="Sell",$D$24&gt;J104),"SL",IF(AND(O104="Sell",$E$24&lt;M104),"TP","")))))</f>
        <v/>
      </c>
    </row>
    <row r="105" spans="1:24">
      <c r="A105" s="125" t="n">
        <v>79</v>
      </c>
      <c r="B105" s="137" t="n"/>
      <c r="G105" s="122" t="n"/>
      <c r="H105" s="122" t="n"/>
      <c r="I105" s="122" t="n"/>
      <c r="K105" s="133" t="n"/>
      <c r="N105" s="133" t="n"/>
      <c r="S105" s="154">
        <f>IF(P105="","",IF(P105="L",ABS((M105-L105)/(L105-J105)),IF(P105="S",ABS((L105-M105)/(J105-L105)),"")))</f>
        <v/>
      </c>
      <c r="V105" s="133">
        <f>IF(U105="","",IF(U105="SL",K105,IF(U105="TP",N105,"")))</f>
        <v/>
      </c>
      <c r="X105" s="125">
        <f>IF(O105="","",IF(AND(O105="Buy",$E$24&lt;J105),"SL",IF(AND(O105="Buy",$D$24&gt;M105),"TP",IF(AND(O105="Sell",$D$24&gt;J105),"SL",IF(AND(O105="Sell",$E$24&lt;M105),"TP","")))))</f>
        <v/>
      </c>
    </row>
    <row r="106" spans="1:24">
      <c r="A106" s="125" t="n">
        <v>80</v>
      </c>
      <c r="B106" s="137" t="n"/>
      <c r="G106" s="122" t="n"/>
      <c r="H106" s="122" t="n"/>
      <c r="I106" s="122" t="n"/>
      <c r="K106" s="133" t="n"/>
      <c r="N106" s="133" t="n"/>
      <c r="S106" s="154">
        <f>IF(P106="","",IF(P106="L",ABS((M106-L106)/(L106-J106)),IF(P106="S",ABS((L106-M106)/(J106-L106)),"")))</f>
        <v/>
      </c>
      <c r="V106" s="133">
        <f>IF(U106="","",IF(U106="SL",K106,IF(U106="TP",N106,"")))</f>
        <v/>
      </c>
      <c r="X106" s="125">
        <f>IF(O106="","",IF(AND(O106="Buy",$E$24&lt;J106),"SL",IF(AND(O106="Buy",$D$24&gt;M106),"TP",IF(AND(O106="Sell",$D$24&gt;J106),"SL",IF(AND(O106="Sell",$E$24&lt;M106),"TP","")))))</f>
        <v/>
      </c>
    </row>
    <row r="107" spans="1:24">
      <c r="A107" s="125" t="n">
        <v>81</v>
      </c>
      <c r="B107" s="137" t="n"/>
      <c r="G107" s="122" t="n"/>
      <c r="H107" s="122" t="n"/>
      <c r="I107" s="122" t="n"/>
      <c r="K107" s="133" t="n"/>
      <c r="N107" s="133" t="n"/>
      <c r="S107" s="154">
        <f>IF(P107="","",IF(P107="L",ABS((M107-L107)/(L107-J107)),IF(P107="S",ABS((L107-M107)/(J107-L107)),"")))</f>
        <v/>
      </c>
      <c r="V107" s="133">
        <f>IF(U107="","",IF(U107="SL",K107,IF(U107="TP",N107,"")))</f>
        <v/>
      </c>
      <c r="X107" s="125">
        <f>IF(O107="","",IF(AND(O107="Buy",$E$24&lt;J107),"SL",IF(AND(O107="Buy",$D$24&gt;M107),"TP",IF(AND(O107="Sell",$D$24&gt;J107),"SL",IF(AND(O107="Sell",$E$24&lt;M107),"TP","")))))</f>
        <v/>
      </c>
    </row>
    <row r="108" spans="1:24">
      <c r="A108" s="125" t="n">
        <v>82</v>
      </c>
      <c r="B108" s="137" t="n"/>
      <c r="G108" s="122" t="n"/>
      <c r="H108" s="122" t="n"/>
      <c r="I108" s="122" t="n"/>
      <c r="K108" s="133" t="n"/>
      <c r="N108" s="133" t="n"/>
      <c r="S108" s="154">
        <f>IF(P108="","",IF(P108="L",ABS((M108-L108)/(L108-J108)),IF(P108="S",ABS((L108-M108)/(J108-L108)),"")))</f>
        <v/>
      </c>
      <c r="V108" s="133">
        <f>IF(U108="","",IF(U108="SL",K108,IF(U108="TP",N108,"")))</f>
        <v/>
      </c>
      <c r="X108" s="125">
        <f>IF(O108="","",IF(AND(O108="Buy",$E$24&lt;J108),"SL",IF(AND(O108="Buy",$D$24&gt;M108),"TP",IF(AND(O108="Sell",$D$24&gt;J108),"SL",IF(AND(O108="Sell",$E$24&lt;M108),"TP","")))))</f>
        <v/>
      </c>
    </row>
    <row r="109" spans="1:24">
      <c r="A109" s="125" t="n">
        <v>83</v>
      </c>
      <c r="B109" s="137" t="n"/>
      <c r="G109" s="122" t="n"/>
      <c r="H109" s="122" t="n"/>
      <c r="I109" s="122" t="n"/>
      <c r="K109" s="133" t="n"/>
      <c r="N109" s="133" t="n"/>
      <c r="S109" s="154">
        <f>IF(P109="","",IF(P109="L",ABS((M109-L109)/(L109-J109)),IF(P109="S",ABS((L109-M109)/(J109-L109)),"")))</f>
        <v/>
      </c>
      <c r="V109" s="133">
        <f>IF(U109="","",IF(U109="SL",K109,IF(U109="TP",N109,"")))</f>
        <v/>
      </c>
      <c r="X109" s="125">
        <f>IF(O109="","",IF(AND(O109="Buy",$E$24&lt;J109),"SL",IF(AND(O109="Buy",$D$24&gt;M109),"TP",IF(AND(O109="Sell",$D$24&gt;J109),"SL",IF(AND(O109="Sell",$E$24&lt;M109),"TP","")))))</f>
        <v/>
      </c>
    </row>
    <row r="110" spans="1:24">
      <c r="A110" s="125" t="n">
        <v>84</v>
      </c>
      <c r="B110" s="137" t="n"/>
      <c r="G110" s="122" t="n"/>
      <c r="H110" s="122" t="n"/>
      <c r="I110" s="122" t="n"/>
      <c r="K110" s="133" t="n"/>
      <c r="N110" s="133" t="n"/>
      <c r="S110" s="154">
        <f>IF(P110="","",IF(P110="L",ABS((M110-L110)/(L110-J110)),IF(P110="S",ABS((L110-M110)/(J110-L110)),"")))</f>
        <v/>
      </c>
      <c r="V110" s="133">
        <f>IF(U110="","",IF(U110="SL",K110,IF(U110="TP",N110,"")))</f>
        <v/>
      </c>
      <c r="X110" s="125">
        <f>IF(O110="","",IF(AND(O110="Buy",$E$24&lt;J110),"SL",IF(AND(O110="Buy",$D$24&gt;M110),"TP",IF(AND(O110="Sell",$D$24&gt;J110),"SL",IF(AND(O110="Sell",$E$24&lt;M110),"TP","")))))</f>
        <v/>
      </c>
    </row>
    <row r="111" spans="1:24">
      <c r="A111" s="125" t="n">
        <v>85</v>
      </c>
      <c r="B111" s="137" t="n"/>
      <c r="G111" s="122" t="n"/>
      <c r="H111" s="122" t="n"/>
      <c r="I111" s="122" t="n"/>
      <c r="K111" s="133" t="n"/>
      <c r="N111" s="133" t="n"/>
      <c r="S111" s="154">
        <f>IF(P111="","",IF(P111="L",ABS((M111-L111)/(L111-J111)),IF(P111="S",ABS((L111-M111)/(J111-L111)),"")))</f>
        <v/>
      </c>
      <c r="V111" s="133">
        <f>IF(U111="","",IF(U111="SL",K111,IF(U111="TP",N111,"")))</f>
        <v/>
      </c>
      <c r="X111" s="125">
        <f>IF(O111="","",IF(AND(O111="Buy",$E$24&lt;J111),"SL",IF(AND(O111="Buy",$D$24&gt;M111),"TP",IF(AND(O111="Sell",$D$24&gt;J111),"SL",IF(AND(O111="Sell",$E$24&lt;M111),"TP","")))))</f>
        <v/>
      </c>
    </row>
    <row r="112" spans="1:24">
      <c r="A112" s="125" t="n">
        <v>86</v>
      </c>
      <c r="B112" s="137" t="n"/>
      <c r="G112" s="122" t="n"/>
      <c r="H112" s="122" t="n"/>
      <c r="I112" s="122" t="n"/>
      <c r="K112" s="133" t="n"/>
      <c r="N112" s="133" t="n"/>
      <c r="S112" s="154">
        <f>IF(P112="","",IF(P112="L",ABS((M112-L112)/(L112-J112)),IF(P112="S",ABS((L112-M112)/(J112-L112)),"")))</f>
        <v/>
      </c>
      <c r="V112" s="133">
        <f>IF(U112="","",IF(U112="SL",K112,IF(U112="TP",N112,"")))</f>
        <v/>
      </c>
      <c r="X112" s="125">
        <f>IF(O112="","",IF(AND(O112="Buy",$E$24&lt;J112),"SL",IF(AND(O112="Buy",$D$24&gt;M112),"TP",IF(AND(O112="Sell",$D$24&gt;J112),"SL",IF(AND(O112="Sell",$E$24&lt;M112),"TP","")))))</f>
        <v/>
      </c>
    </row>
    <row r="113" spans="1:24">
      <c r="A113" s="125" t="n">
        <v>87</v>
      </c>
      <c r="B113" s="137" t="n"/>
      <c r="G113" s="122" t="n"/>
      <c r="H113" s="122" t="n"/>
      <c r="I113" s="122" t="n"/>
      <c r="K113" s="133" t="n"/>
      <c r="N113" s="133" t="n"/>
      <c r="S113" s="154">
        <f>IF(P113="","",IF(P113="L",ABS((M113-L113)/(L113-J113)),IF(P113="S",ABS((L113-M113)/(J113-L113)),"")))</f>
        <v/>
      </c>
      <c r="V113" s="133">
        <f>IF(U113="","",IF(U113="SL",K113,IF(U113="TP",N113,"")))</f>
        <v/>
      </c>
      <c r="X113" s="125">
        <f>IF(O113="","",IF(AND(O113="Buy",$E$24&lt;J113),"SL",IF(AND(O113="Buy",$D$24&gt;M113),"TP",IF(AND(O113="Sell",$D$24&gt;J113),"SL",IF(AND(O113="Sell",$E$24&lt;M113),"TP","")))))</f>
        <v/>
      </c>
    </row>
    <row r="114" spans="1:24">
      <c r="A114" s="125" t="n">
        <v>88</v>
      </c>
      <c r="B114" s="137" t="n"/>
      <c r="G114" s="122" t="n"/>
      <c r="H114" s="122" t="n"/>
      <c r="I114" s="122" t="n"/>
      <c r="K114" s="133" t="n"/>
      <c r="N114" s="133" t="n"/>
      <c r="S114" s="154">
        <f>IF(P114="","",IF(P114="L",ABS((M114-L114)/(L114-J114)),IF(P114="S",ABS((L114-M114)/(J114-L114)),"")))</f>
        <v/>
      </c>
      <c r="V114" s="133">
        <f>IF(U114="","",IF(U114="SL",K114,IF(U114="TP",N114,"")))</f>
        <v/>
      </c>
      <c r="X114" s="125">
        <f>IF(O114="","",IF(AND(O114="Buy",$E$24&lt;J114),"SL",IF(AND(O114="Buy",$D$24&gt;M114),"TP",IF(AND(O114="Sell",$D$24&gt;J114),"SL",IF(AND(O114="Sell",$E$24&lt;M114),"TP","")))))</f>
        <v/>
      </c>
    </row>
    <row r="115" spans="1:24">
      <c r="A115" s="125" t="n">
        <v>89</v>
      </c>
      <c r="B115" s="137" t="n"/>
      <c r="G115" s="122" t="n"/>
      <c r="H115" s="122" t="n"/>
      <c r="I115" s="122" t="n"/>
      <c r="K115" s="133" t="n"/>
      <c r="N115" s="133" t="n"/>
      <c r="S115" s="154">
        <f>IF(P115="","",IF(P115="L",ABS((M115-L115)/(L115-J115)),IF(P115="S",ABS((L115-M115)/(J115-L115)),"")))</f>
        <v/>
      </c>
      <c r="V115" s="133">
        <f>IF(U115="","",IF(U115="SL",K115,IF(U115="TP",N115,"")))</f>
        <v/>
      </c>
      <c r="X115" s="125">
        <f>IF(O115="","",IF(AND(O115="Buy",$E$24&lt;J115),"SL",IF(AND(O115="Buy",$D$24&gt;M115),"TP",IF(AND(O115="Sell",$D$24&gt;J115),"SL",IF(AND(O115="Sell",$E$24&lt;M115),"TP","")))))</f>
        <v/>
      </c>
    </row>
    <row r="116" spans="1:24">
      <c r="A116" s="125" t="n">
        <v>90</v>
      </c>
      <c r="B116" s="137" t="n"/>
      <c r="G116" s="122" t="n"/>
      <c r="H116" s="122" t="n"/>
      <c r="I116" s="122" t="n"/>
      <c r="K116" s="133" t="n"/>
      <c r="N116" s="133" t="n"/>
      <c r="S116" s="154">
        <f>IF(P116="","",IF(P116="L",ABS((M116-L116)/(L116-J116)),IF(P116="S",ABS((L116-M116)/(J116-L116)),"")))</f>
        <v/>
      </c>
      <c r="V116" s="133">
        <f>IF(U116="","",IF(U116="SL",K116,IF(U116="TP",N116,"")))</f>
        <v/>
      </c>
      <c r="X116" s="125">
        <f>IF(O116="","",IF(AND(O116="Buy",$E$24&lt;J116),"SL",IF(AND(O116="Buy",$D$24&gt;M116),"TP",IF(AND(O116="Sell",$D$24&gt;J116),"SL",IF(AND(O116="Sell",$E$24&lt;M116),"TP","")))))</f>
        <v/>
      </c>
    </row>
    <row r="117" spans="1:24">
      <c r="A117" s="125" t="n">
        <v>91</v>
      </c>
      <c r="B117" s="137" t="n"/>
      <c r="G117" s="122" t="n"/>
      <c r="H117" s="122" t="n"/>
      <c r="I117" s="122" t="n"/>
      <c r="K117" s="133" t="n"/>
      <c r="N117" s="133" t="n"/>
      <c r="S117" s="154">
        <f>IF(P117="","",IF(P117="L",ABS((M117-L117)/(L117-J117)),IF(P117="S",ABS((L117-M117)/(J117-L117)),"")))</f>
        <v/>
      </c>
      <c r="V117" s="133">
        <f>IF(U117="","",IF(U117="SL",K117,IF(U117="TP",N117,"")))</f>
        <v/>
      </c>
      <c r="X117" s="125">
        <f>IF(O117="","",IF(AND(O117="Buy",$E$24&lt;J117),"SL",IF(AND(O117="Buy",$D$24&gt;M117),"TP",IF(AND(O117="Sell",$D$24&gt;J117),"SL",IF(AND(O117="Sell",$E$24&lt;M117),"TP","")))))</f>
        <v/>
      </c>
    </row>
    <row r="118" spans="1:24">
      <c r="A118" s="125" t="n">
        <v>92</v>
      </c>
      <c r="B118" s="137" t="n"/>
      <c r="G118" s="122" t="n"/>
      <c r="H118" s="122" t="n"/>
      <c r="I118" s="122" t="n"/>
      <c r="K118" s="133" t="n"/>
      <c r="N118" s="133" t="n"/>
      <c r="S118" s="154">
        <f>IF(P118="","",IF(P118="L",ABS((M118-L118)/(L118-J118)),IF(P118="S",ABS((L118-M118)/(J118-L118)),"")))</f>
        <v/>
      </c>
      <c r="V118" s="133">
        <f>IF(U118="","",IF(U118="SL",K118,IF(U118="TP",N118,"")))</f>
        <v/>
      </c>
      <c r="X118" s="125">
        <f>IF(O118="","",IF(AND(O118="Buy",$E$24&lt;J118),"SL",IF(AND(O118="Buy",$D$24&gt;M118),"TP",IF(AND(O118="Sell",$D$24&gt;J118),"SL",IF(AND(O118="Sell",$E$24&lt;M118),"TP","")))))</f>
        <v/>
      </c>
    </row>
    <row r="119" spans="1:24">
      <c r="A119" s="125" t="n">
        <v>93</v>
      </c>
      <c r="B119" s="137" t="n"/>
      <c r="G119" s="122" t="n"/>
      <c r="H119" s="122" t="n"/>
      <c r="I119" s="122" t="n"/>
      <c r="K119" s="133" t="n"/>
      <c r="N119" s="133" t="n"/>
      <c r="S119" s="154">
        <f>IF(P119="","",IF(P119="L",ABS((M119-L119)/(L119-J119)),IF(P119="S",ABS((L119-M119)/(J119-L119)),"")))</f>
        <v/>
      </c>
      <c r="V119" s="133">
        <f>IF(U119="","",IF(U119="SL",K119,IF(U119="TP",N119,"")))</f>
        <v/>
      </c>
      <c r="X119" s="125">
        <f>IF(O119="","",IF(AND(O119="Buy",$E$24&lt;J119),"SL",IF(AND(O119="Buy",$D$24&gt;M119),"TP",IF(AND(O119="Sell",$D$24&gt;J119),"SL",IF(AND(O119="Sell",$E$24&lt;M119),"TP","")))))</f>
        <v/>
      </c>
    </row>
    <row r="120" spans="1:24">
      <c r="A120" s="125" t="n">
        <v>94</v>
      </c>
      <c r="B120" s="137" t="n"/>
      <c r="G120" s="122" t="n"/>
      <c r="H120" s="122" t="n"/>
      <c r="I120" s="122" t="n"/>
      <c r="K120" s="133" t="n"/>
      <c r="N120" s="133" t="n"/>
      <c r="S120" s="154">
        <f>IF(P120="","",IF(P120="L",ABS((M120-L120)/(L120-J120)),IF(P120="S",ABS((L120-M120)/(J120-L120)),"")))</f>
        <v/>
      </c>
      <c r="V120" s="133">
        <f>IF(U120="","",IF(U120="SL",K120,IF(U120="TP",N120,"")))</f>
        <v/>
      </c>
      <c r="X120" s="125">
        <f>IF(O120="","",IF(AND(O120="Buy",$E$24&lt;J120),"SL",IF(AND(O120="Buy",$D$24&gt;M120),"TP",IF(AND(O120="Sell",$D$24&gt;J120),"SL",IF(AND(O120="Sell",$E$24&lt;M120),"TP","")))))</f>
        <v/>
      </c>
    </row>
    <row r="121" spans="1:24">
      <c r="A121" s="125" t="n">
        <v>95</v>
      </c>
      <c r="B121" s="137" t="n"/>
      <c r="G121" s="122" t="n"/>
      <c r="H121" s="122" t="n"/>
      <c r="I121" s="122" t="n"/>
      <c r="K121" s="133" t="n"/>
      <c r="N121" s="133" t="n"/>
      <c r="S121" s="154">
        <f>IF(P121="","",IF(P121="L",ABS((M121-L121)/(L121-J121)),IF(P121="S",ABS((L121-M121)/(J121-L121)),"")))</f>
        <v/>
      </c>
      <c r="V121" s="133">
        <f>IF(U121="","",IF(U121="SL",K121,IF(U121="TP",N121,"")))</f>
        <v/>
      </c>
      <c r="X121" s="125">
        <f>IF(O121="","",IF(AND(O121="Buy",$E$24&lt;J121),"SL",IF(AND(O121="Buy",$D$24&gt;M121),"TP",IF(AND(O121="Sell",$D$24&gt;J121),"SL",IF(AND(O121="Sell",$E$24&lt;M121),"TP","")))))</f>
        <v/>
      </c>
    </row>
    <row r="122" spans="1:24">
      <c r="A122" s="125" t="n">
        <v>96</v>
      </c>
      <c r="B122" s="137" t="n"/>
      <c r="G122" s="122" t="n"/>
      <c r="H122" s="122" t="n"/>
      <c r="I122" s="122" t="n"/>
      <c r="K122" s="133" t="n"/>
      <c r="N122" s="133" t="n"/>
      <c r="S122" s="154">
        <f>IF(P122="","",IF(P122="L",ABS((M122-L122)/(L122-J122)),IF(P122="S",ABS((L122-M122)/(J122-L122)),"")))</f>
        <v/>
      </c>
      <c r="V122" s="133">
        <f>IF(U122="","",IF(U122="SL",K122,IF(U122="TP",N122,"")))</f>
        <v/>
      </c>
      <c r="X122" s="125">
        <f>IF(O122="","",IF(AND(O122="Buy",$E$24&lt;J122),"SL",IF(AND(O122="Buy",$D$24&gt;M122),"TP",IF(AND(O122="Sell",$D$24&gt;J122),"SL",IF(AND(O122="Sell",$E$24&lt;M122),"TP","")))))</f>
        <v/>
      </c>
    </row>
    <row r="123" spans="1:24">
      <c r="A123" s="125" t="n">
        <v>97</v>
      </c>
      <c r="B123" s="137" t="n"/>
      <c r="G123" s="122" t="n"/>
      <c r="H123" s="122" t="n"/>
      <c r="I123" s="122" t="n"/>
      <c r="K123" s="133" t="n"/>
      <c r="N123" s="133" t="n"/>
      <c r="S123" s="154">
        <f>IF(P123="","",IF(P123="L",ABS((M123-L123)/(L123-J123)),IF(P123="S",ABS((L123-M123)/(J123-L123)),"")))</f>
        <v/>
      </c>
      <c r="V123" s="133">
        <f>IF(U123="","",IF(U123="SL",K123,IF(U123="TP",N123,"")))</f>
        <v/>
      </c>
      <c r="X123" s="125">
        <f>IF(O123="","",IF(AND(O123="Buy",$E$24&lt;J123),"SL",IF(AND(O123="Buy",$D$24&gt;M123),"TP",IF(AND(O123="Sell",$D$24&gt;J123),"SL",IF(AND(O123="Sell",$E$24&lt;M123),"TP","")))))</f>
        <v/>
      </c>
    </row>
    <row r="124" spans="1:24">
      <c r="A124" s="125" t="n">
        <v>98</v>
      </c>
      <c r="B124" s="137" t="n"/>
      <c r="G124" s="122" t="n"/>
      <c r="H124" s="122" t="n"/>
      <c r="I124" s="122" t="n"/>
      <c r="K124" s="133" t="n"/>
      <c r="N124" s="133" t="n"/>
      <c r="S124" s="154">
        <f>IF(P124="","",IF(P124="L",ABS((M124-L124)/(L124-J124)),IF(P124="S",ABS((L124-M124)/(J124-L124)),"")))</f>
        <v/>
      </c>
      <c r="V124" s="133">
        <f>IF(U124="","",IF(U124="SL",K124,IF(U124="TP",N124,"")))</f>
        <v/>
      </c>
      <c r="X124" s="125">
        <f>IF(O124="","",IF(AND(O124="Buy",$E$24&lt;J124),"SL",IF(AND(O124="Buy",$D$24&gt;M124),"TP",IF(AND(O124="Sell",$D$24&gt;J124),"SL",IF(AND(O124="Sell",$E$24&lt;M124),"TP","")))))</f>
        <v/>
      </c>
    </row>
    <row r="125" spans="1:24">
      <c r="A125" s="125" t="n">
        <v>99</v>
      </c>
      <c r="B125" s="137" t="n"/>
      <c r="G125" s="122" t="n"/>
      <c r="H125" s="122" t="n"/>
      <c r="I125" s="122" t="n"/>
      <c r="K125" s="133" t="n"/>
      <c r="N125" s="133" t="n"/>
      <c r="S125" s="154">
        <f>IF(P125="","",IF(P125="L",ABS((M125-L125)/(L125-J125)),IF(P125="S",ABS((L125-M125)/(J125-L125)),"")))</f>
        <v/>
      </c>
      <c r="V125" s="133">
        <f>IF(U125="","",IF(U125="SL",K125,IF(U125="TP",N125,"")))</f>
        <v/>
      </c>
      <c r="X125" s="125">
        <f>IF(O125="","",IF(AND(O125="Buy",$E$24&lt;J125),"SL",IF(AND(O125="Buy",$D$24&gt;M125),"TP",IF(AND(O125="Sell",$D$24&gt;J125),"SL",IF(AND(O125="Sell",$E$24&lt;M125),"TP","")))))</f>
        <v/>
      </c>
    </row>
    <row r="126" spans="1:24">
      <c r="A126" s="125" t="n">
        <v>100</v>
      </c>
      <c r="B126" s="137" t="n"/>
      <c r="G126" s="122" t="n"/>
      <c r="H126" s="122" t="n"/>
      <c r="I126" s="122" t="n"/>
      <c r="K126" s="133" t="n"/>
      <c r="N126" s="133" t="n"/>
      <c r="S126" s="154">
        <f>IF(P126="","",IF(P126="L",ABS((M126-L126)/(L126-J126)),IF(P126="S",ABS((L126-M126)/(J126-L126)),"")))</f>
        <v/>
      </c>
      <c r="V126" s="133">
        <f>IF(U126="","",IF(U126="SL",K126,IF(U126="TP",N126,"")))</f>
        <v/>
      </c>
      <c r="X126" s="125">
        <f>IF(O126="","",IF(AND(O126="Buy",$E$24&lt;J126),"SL",IF(AND(O126="Buy",$D$24&gt;M126),"TP",IF(AND(O126="Sell",$D$24&gt;J126),"SL",IF(AND(O126="Sell",$E$24&lt;M126),"TP","")))))</f>
        <v/>
      </c>
    </row>
    <row r="127" spans="1:24">
      <c r="A127" s="125" t="n">
        <v>101</v>
      </c>
      <c r="B127" s="137" t="n"/>
      <c r="G127" s="122" t="n"/>
      <c r="H127" s="122" t="n"/>
      <c r="I127" s="122" t="n"/>
      <c r="K127" s="133" t="n"/>
      <c r="N127" s="133" t="n"/>
      <c r="S127" s="154">
        <f>IF(P127="","",IF(P127="L",ABS((M127-L127)/(L127-J127)),IF(P127="S",ABS((L127-M127)/(J127-L127)),"")))</f>
        <v/>
      </c>
      <c r="V127" s="133">
        <f>IF(U127="","",IF(U127="SL",K127,IF(U127="TP",N127,"")))</f>
        <v/>
      </c>
      <c r="X127" s="125">
        <f>IF(O127="","",IF(AND(O127="Buy",$E$24&lt;J127),"SL",IF(AND(O127="Buy",$D$24&gt;M127),"TP",IF(AND(O127="Sell",$D$24&gt;J127),"SL",IF(AND(O127="Sell",$E$24&lt;M127),"TP","")))))</f>
        <v/>
      </c>
    </row>
    <row r="128" spans="1:24">
      <c r="A128" s="125" t="n">
        <v>102</v>
      </c>
      <c r="B128" s="137" t="n"/>
      <c r="G128" s="122" t="n"/>
      <c r="H128" s="122" t="n"/>
      <c r="I128" s="122" t="n"/>
      <c r="K128" s="133" t="n"/>
      <c r="N128" s="133" t="n"/>
      <c r="S128" s="154">
        <f>IF(P128="","",IF(P128="L",ABS((M128-L128)/(L128-J128)),IF(P128="S",ABS((L128-M128)/(J128-L128)),"")))</f>
        <v/>
      </c>
      <c r="V128" s="133">
        <f>IF(U128="","",IF(U128="SL",K128,IF(U128="TP",N128,"")))</f>
        <v/>
      </c>
      <c r="X128" s="125">
        <f>IF(O128="","",IF(AND(O128="Buy",$E$24&lt;J128),"SL",IF(AND(O128="Buy",$D$24&gt;M128),"TP",IF(AND(O128="Sell",$D$24&gt;J128),"SL",IF(AND(O128="Sell",$E$24&lt;M128),"TP","")))))</f>
        <v/>
      </c>
    </row>
    <row r="129" spans="1:24">
      <c r="A129" s="125" t="n">
        <v>103</v>
      </c>
      <c r="B129" s="137" t="n"/>
      <c r="G129" s="122" t="n"/>
      <c r="H129" s="122" t="n"/>
      <c r="I129" s="122" t="n"/>
      <c r="K129" s="133" t="n"/>
      <c r="N129" s="133" t="n"/>
      <c r="S129" s="154">
        <f>IF(P129="","",IF(P129="L",ABS((M129-L129)/(L129-J129)),IF(P129="S",ABS((L129-M129)/(J129-L129)),"")))</f>
        <v/>
      </c>
      <c r="V129" s="133">
        <f>IF(U129="","",IF(U129="SL",K129,IF(U129="TP",N129,"")))</f>
        <v/>
      </c>
      <c r="X129" s="125">
        <f>IF(O129="","",IF(AND(O129="Buy",$E$24&lt;J129),"SL",IF(AND(O129="Buy",$D$24&gt;M129),"TP",IF(AND(O129="Sell",$D$24&gt;J129),"SL",IF(AND(O129="Sell",$E$24&lt;M129),"TP","")))))</f>
        <v/>
      </c>
    </row>
    <row r="130" spans="1:24">
      <c r="A130" s="125" t="n">
        <v>104</v>
      </c>
      <c r="B130" s="137" t="n"/>
      <c r="G130" s="122" t="n"/>
      <c r="H130" s="122" t="n"/>
      <c r="I130" s="122" t="n"/>
      <c r="K130" s="133" t="n"/>
      <c r="N130" s="133" t="n"/>
      <c r="S130" s="154">
        <f>IF(P130="","",IF(P130="L",ABS((M130-L130)/(L130-J130)),IF(P130="S",ABS((L130-M130)/(J130-L130)),"")))</f>
        <v/>
      </c>
      <c r="V130" s="133">
        <f>IF(U130="","",IF(U130="SL",K130,IF(U130="TP",N130,"")))</f>
        <v/>
      </c>
      <c r="X130" s="125">
        <f>IF(O130="","",IF(AND(O130="Buy",$E$24&lt;J130),"SL",IF(AND(O130="Buy",$D$24&gt;M130),"TP",IF(AND(O130="Sell",$D$24&gt;J130),"SL",IF(AND(O130="Sell",$E$24&lt;M130),"TP","")))))</f>
        <v/>
      </c>
    </row>
    <row r="131" spans="1:24">
      <c r="A131" s="125" t="n">
        <v>105</v>
      </c>
      <c r="B131" s="137" t="n"/>
      <c r="G131" s="122" t="n"/>
      <c r="H131" s="122" t="n"/>
      <c r="I131" s="122" t="n"/>
      <c r="K131" s="133" t="n"/>
      <c r="N131" s="133" t="n"/>
      <c r="S131" s="154">
        <f>IF(P131="","",IF(P131="L",ABS((M131-L131)/(L131-J131)),IF(P131="S",ABS((L131-M131)/(J131-L131)),"")))</f>
        <v/>
      </c>
      <c r="V131" s="133">
        <f>IF(U131="","",IF(U131="SL",K131,IF(U131="TP",N131,"")))</f>
        <v/>
      </c>
      <c r="X131" s="125">
        <f>IF(O131="","",IF(AND(O131="Buy",$E$24&lt;J131),"SL",IF(AND(O131="Buy",$D$24&gt;M131),"TP",IF(AND(O131="Sell",$D$24&gt;J131),"SL",IF(AND(O131="Sell",$E$24&lt;M131),"TP","")))))</f>
        <v/>
      </c>
    </row>
    <row r="132" spans="1:24">
      <c r="A132" s="125" t="n">
        <v>106</v>
      </c>
      <c r="B132" s="137" t="n"/>
      <c r="G132" s="122" t="n"/>
      <c r="H132" s="122" t="n"/>
      <c r="I132" s="122" t="n"/>
      <c r="K132" s="133" t="n"/>
      <c r="N132" s="133" t="n"/>
      <c r="S132" s="154">
        <f>IF(P132="","",IF(P132="L",ABS((M132-L132)/(L132-J132)),IF(P132="S",ABS((L132-M132)/(J132-L132)),"")))</f>
        <v/>
      </c>
      <c r="V132" s="133">
        <f>IF(U132="","",IF(U132="SL",K132,IF(U132="TP",N132,"")))</f>
        <v/>
      </c>
      <c r="X132" s="125">
        <f>IF(O132="","",IF(AND(O132="Buy",$E$24&lt;J132),"SL",IF(AND(O132="Buy",$D$24&gt;M132),"TP",IF(AND(O132="Sell",$D$24&gt;J132),"SL",IF(AND(O132="Sell",$E$24&lt;M132),"TP","")))))</f>
        <v/>
      </c>
    </row>
    <row r="133" spans="1:24">
      <c r="A133" s="125" t="n">
        <v>107</v>
      </c>
      <c r="B133" s="137" t="n"/>
      <c r="G133" s="122" t="n"/>
      <c r="H133" s="122" t="n"/>
      <c r="I133" s="122" t="n"/>
      <c r="K133" s="133" t="n"/>
      <c r="N133" s="133" t="n"/>
      <c r="S133" s="154">
        <f>IF(P133="","",IF(P133="L",ABS((M133-L133)/(L133-J133)),IF(P133="S",ABS((L133-M133)/(J133-L133)),"")))</f>
        <v/>
      </c>
      <c r="V133" s="133">
        <f>IF(U133="","",IF(U133="SL",K133,IF(U133="TP",N133,"")))</f>
        <v/>
      </c>
      <c r="X133" s="125">
        <f>IF(O133="","",IF(AND(O133="Buy",$E$24&lt;J133),"SL",IF(AND(O133="Buy",$D$24&gt;M133),"TP",IF(AND(O133="Sell",$D$24&gt;J133),"SL",IF(AND(O133="Sell",$E$24&lt;M133),"TP","")))))</f>
        <v/>
      </c>
    </row>
    <row r="134" spans="1:24">
      <c r="A134" s="125" t="n">
        <v>108</v>
      </c>
      <c r="B134" s="137" t="n"/>
      <c r="G134" s="122" t="n"/>
      <c r="H134" s="122" t="n"/>
      <c r="I134" s="122" t="n"/>
      <c r="K134" s="133" t="n"/>
      <c r="N134" s="133" t="n"/>
      <c r="S134" s="154">
        <f>IF(P134="","",IF(P134="L",ABS((M134-L134)/(L134-J134)),IF(P134="S",ABS((L134-M134)/(J134-L134)),"")))</f>
        <v/>
      </c>
      <c r="V134" s="133">
        <f>IF(U134="","",IF(U134="SL",K134,IF(U134="TP",N134,"")))</f>
        <v/>
      </c>
      <c r="X134" s="125">
        <f>IF(O134="","",IF(AND(O134="Buy",$E$24&lt;J134),"SL",IF(AND(O134="Buy",$D$24&gt;M134),"TP",IF(AND(O134="Sell",$D$24&gt;J134),"SL",IF(AND(O134="Sell",$E$24&lt;M134),"TP","")))))</f>
        <v/>
      </c>
    </row>
    <row r="135" spans="1:24">
      <c r="A135" s="125" t="n">
        <v>109</v>
      </c>
      <c r="B135" s="137" t="n"/>
      <c r="G135" s="122" t="n"/>
      <c r="H135" s="122" t="n"/>
      <c r="I135" s="122" t="n"/>
      <c r="K135" s="133" t="n"/>
      <c r="N135" s="133" t="n"/>
      <c r="S135" s="154">
        <f>IF(P135="","",IF(P135="L",ABS((M135-L135)/(L135-J135)),IF(P135="S",ABS((L135-M135)/(J135-L135)),"")))</f>
        <v/>
      </c>
      <c r="V135" s="133">
        <f>IF(U135="","",IF(U135="SL",K135,IF(U135="TP",N135,"")))</f>
        <v/>
      </c>
      <c r="X135" s="125">
        <f>IF(O135="","",IF(AND(O135="Buy",$E$24&lt;J135),"SL",IF(AND(O135="Buy",$D$24&gt;M135),"TP",IF(AND(O135="Sell",$D$24&gt;J135),"SL",IF(AND(O135="Sell",$E$24&lt;M135),"TP","")))))</f>
        <v/>
      </c>
    </row>
    <row r="136" spans="1:24">
      <c r="A136" s="125" t="n">
        <v>110</v>
      </c>
      <c r="B136" s="137" t="n"/>
      <c r="G136" s="122" t="n"/>
      <c r="H136" s="122" t="n"/>
      <c r="I136" s="122" t="n"/>
      <c r="K136" s="133" t="n"/>
      <c r="N136" s="133" t="n"/>
      <c r="S136" s="154">
        <f>IF(P136="","",IF(P136="L",ABS((M136-L136)/(L136-J136)),IF(P136="S",ABS((L136-M136)/(J136-L136)),"")))</f>
        <v/>
      </c>
      <c r="V136" s="133">
        <f>IF(U136="","",IF(U136="SL",K136,IF(U136="TP",N136,"")))</f>
        <v/>
      </c>
      <c r="X136" s="125">
        <f>IF(O136="","",IF(AND(O136="Buy",$E$24&lt;J136),"SL",IF(AND(O136="Buy",$D$24&gt;M136),"TP",IF(AND(O136="Sell",$D$24&gt;J136),"SL",IF(AND(O136="Sell",$E$24&lt;M136),"TP","")))))</f>
        <v/>
      </c>
    </row>
    <row r="137" spans="1:24">
      <c r="A137" s="125" t="n">
        <v>111</v>
      </c>
      <c r="B137" s="137" t="n"/>
      <c r="G137" s="122" t="n"/>
      <c r="H137" s="122" t="n"/>
      <c r="I137" s="122" t="n"/>
      <c r="K137" s="133" t="n"/>
      <c r="N137" s="133" t="n"/>
      <c r="S137" s="154">
        <f>IF(P137="","",IF(P137="L",ABS((M137-L137)/(L137-J137)),IF(P137="S",ABS((L137-M137)/(J137-L137)),"")))</f>
        <v/>
      </c>
      <c r="V137" s="133">
        <f>IF(U137="","",IF(U137="SL",K137,IF(U137="TP",N137,"")))</f>
        <v/>
      </c>
      <c r="X137" s="125">
        <f>IF(O137="","",IF(AND(O137="Buy",$E$24&lt;J137),"SL",IF(AND(O137="Buy",$D$24&gt;M137),"TP",IF(AND(O137="Sell",$D$24&gt;J137),"SL",IF(AND(O137="Sell",$E$24&lt;M137),"TP","")))))</f>
        <v/>
      </c>
    </row>
    <row r="138" spans="1:24">
      <c r="A138" s="125" t="n">
        <v>112</v>
      </c>
      <c r="B138" s="137" t="n"/>
      <c r="G138" s="122" t="n"/>
      <c r="H138" s="122" t="n"/>
      <c r="I138" s="122" t="n"/>
      <c r="K138" s="133" t="n"/>
      <c r="N138" s="133" t="n"/>
      <c r="S138" s="154">
        <f>IF(P138="","",IF(P138="L",ABS((M138-L138)/(L138-J138)),IF(P138="S",ABS((L138-M138)/(J138-L138)),"")))</f>
        <v/>
      </c>
      <c r="V138" s="133">
        <f>IF(U138="","",IF(U138="SL",K138,IF(U138="TP",N138,"")))</f>
        <v/>
      </c>
      <c r="X138" s="125">
        <f>IF(O138="","",IF(AND(O138="Buy",$E$24&lt;J138),"SL",IF(AND(O138="Buy",$D$24&gt;M138),"TP",IF(AND(O138="Sell",$D$24&gt;J138),"SL",IF(AND(O138="Sell",$E$24&lt;M138),"TP","")))))</f>
        <v/>
      </c>
    </row>
    <row r="139" spans="1:24">
      <c r="A139" s="125" t="n">
        <v>113</v>
      </c>
      <c r="B139" s="137" t="n"/>
      <c r="G139" s="122" t="n"/>
      <c r="H139" s="122" t="n"/>
      <c r="I139" s="122" t="n"/>
      <c r="K139" s="133" t="n"/>
      <c r="N139" s="133" t="n"/>
      <c r="S139" s="154">
        <f>IF(P139="","",IF(P139="L",ABS((M139-L139)/(L139-J139)),IF(P139="S",ABS((L139-M139)/(J139-L139)),"")))</f>
        <v/>
      </c>
      <c r="V139" s="133">
        <f>IF(U139="","",IF(U139="SL",K139,IF(U139="TP",N139,"")))</f>
        <v/>
      </c>
      <c r="X139" s="125">
        <f>IF(O139="","",IF(AND(O139="Buy",$E$24&lt;J139),"SL",IF(AND(O139="Buy",$D$24&gt;M139),"TP",IF(AND(O139="Sell",$D$24&gt;J139),"SL",IF(AND(O139="Sell",$E$24&lt;M139),"TP","")))))</f>
        <v/>
      </c>
    </row>
    <row r="140" spans="1:24">
      <c r="A140" s="125" t="n">
        <v>114</v>
      </c>
      <c r="B140" s="137" t="n"/>
      <c r="G140" s="122" t="n"/>
      <c r="H140" s="122" t="n"/>
      <c r="I140" s="122" t="n"/>
      <c r="K140" s="133" t="n"/>
      <c r="N140" s="133" t="n"/>
      <c r="S140" s="154">
        <f>IF(P140="","",IF(P140="L",ABS((M140-L140)/(L140-J140)),IF(P140="S",ABS((L140-M140)/(J140-L140)),"")))</f>
        <v/>
      </c>
      <c r="V140" s="133">
        <f>IF(U140="","",IF(U140="SL",K140,IF(U140="TP",N140,"")))</f>
        <v/>
      </c>
      <c r="X140" s="125">
        <f>IF(O140="","",IF(AND(O140="Buy",$E$24&lt;J140),"SL",IF(AND(O140="Buy",$D$24&gt;M140),"TP",IF(AND(O140="Sell",$D$24&gt;J140),"SL",IF(AND(O140="Sell",$E$24&lt;M140),"TP","")))))</f>
        <v/>
      </c>
    </row>
    <row r="141" spans="1:24">
      <c r="A141" s="125" t="n">
        <v>115</v>
      </c>
      <c r="B141" s="137" t="n"/>
      <c r="G141" s="122" t="n"/>
      <c r="H141" s="122" t="n"/>
      <c r="I141" s="122" t="n"/>
      <c r="K141" s="133" t="n"/>
      <c r="N141" s="133" t="n"/>
      <c r="S141" s="154">
        <f>IF(P141="","",IF(P141="L",ABS((M141-L141)/(L141-J141)),IF(P141="S",ABS((L141-M141)/(J141-L141)),"")))</f>
        <v/>
      </c>
      <c r="V141" s="133">
        <f>IF(U141="","",IF(U141="SL",K141,IF(U141="TP",N141,"")))</f>
        <v/>
      </c>
      <c r="X141" s="125">
        <f>IF(O141="","",IF(AND(O141="Buy",$E$24&lt;J141),"SL",IF(AND(O141="Buy",$D$24&gt;M141),"TP",IF(AND(O141="Sell",$D$24&gt;J141),"SL",IF(AND(O141="Sell",$E$24&lt;M141),"TP","")))))</f>
        <v/>
      </c>
    </row>
    <row r="142" spans="1:24">
      <c r="A142" s="125" t="n">
        <v>116</v>
      </c>
      <c r="B142" s="137" t="n"/>
      <c r="G142" s="122" t="n"/>
      <c r="H142" s="122" t="n"/>
      <c r="I142" s="122" t="n"/>
      <c r="K142" s="133" t="n"/>
      <c r="N142" s="133" t="n"/>
      <c r="S142" s="154">
        <f>IF(P142="","",IF(P142="L",ABS((M142-L142)/(L142-J142)),IF(P142="S",ABS((L142-M142)/(J142-L142)),"")))</f>
        <v/>
      </c>
      <c r="V142" s="133">
        <f>IF(U142="","",IF(U142="SL",K142,IF(U142="TP",N142,"")))</f>
        <v/>
      </c>
      <c r="X142" s="125">
        <f>IF(O142="","",IF(AND(O142="Buy",$E$24&lt;J142),"SL",IF(AND(O142="Buy",$D$24&gt;M142),"TP",IF(AND(O142="Sell",$D$24&gt;J142),"SL",IF(AND(O142="Sell",$E$24&lt;M142),"TP","")))))</f>
        <v/>
      </c>
    </row>
    <row r="143" spans="1:24">
      <c r="A143" s="125" t="n">
        <v>117</v>
      </c>
      <c r="B143" s="137" t="n"/>
      <c r="G143" s="122" t="n"/>
      <c r="H143" s="122" t="n"/>
      <c r="I143" s="122" t="n"/>
      <c r="K143" s="133" t="n"/>
      <c r="N143" s="133" t="n"/>
      <c r="S143" s="154">
        <f>IF(P143="","",IF(P143="L",ABS((M143-L143)/(L143-J143)),IF(P143="S",ABS((L143-M143)/(J143-L143)),"")))</f>
        <v/>
      </c>
      <c r="V143" s="133">
        <f>IF(U143="","",IF(U143="SL",K143,IF(U143="TP",N143,"")))</f>
        <v/>
      </c>
      <c r="X143" s="125">
        <f>IF(O143="","",IF(AND(O143="Buy",$E$24&lt;J143),"SL",IF(AND(O143="Buy",$D$24&gt;M143),"TP",IF(AND(O143="Sell",$D$24&gt;J143),"SL",IF(AND(O143="Sell",$E$24&lt;M143),"TP","")))))</f>
        <v/>
      </c>
    </row>
    <row r="144" spans="1:24">
      <c r="A144" s="125" t="n">
        <v>118</v>
      </c>
      <c r="B144" s="137" t="n"/>
      <c r="G144" s="122" t="n"/>
      <c r="H144" s="122" t="n"/>
      <c r="I144" s="122" t="n"/>
      <c r="K144" s="133" t="n"/>
      <c r="N144" s="133" t="n"/>
      <c r="S144" s="154">
        <f>IF(P144="","",IF(P144="L",ABS((M144-L144)/(L144-J144)),IF(P144="S",ABS((L144-M144)/(J144-L144)),"")))</f>
        <v/>
      </c>
      <c r="V144" s="133">
        <f>IF(U144="","",IF(U144="SL",K144,IF(U144="TP",N144,"")))</f>
        <v/>
      </c>
      <c r="X144" s="125">
        <f>IF(O144="","",IF(AND(O144="Buy",$E$24&lt;J144),"SL",IF(AND(O144="Buy",$D$24&gt;M144),"TP",IF(AND(O144="Sell",$D$24&gt;J144),"SL",IF(AND(O144="Sell",$E$24&lt;M144),"TP","")))))</f>
        <v/>
      </c>
    </row>
    <row r="145" spans="1:24">
      <c r="A145" s="125" t="n">
        <v>119</v>
      </c>
      <c r="B145" s="137" t="n"/>
      <c r="G145" s="122" t="n"/>
      <c r="H145" s="122" t="n"/>
      <c r="I145" s="122" t="n"/>
      <c r="K145" s="133" t="n"/>
      <c r="N145" s="133" t="n"/>
      <c r="S145" s="154">
        <f>IF(P145="","",IF(P145="L",ABS((M145-L145)/(L145-J145)),IF(P145="S",ABS((L145-M145)/(J145-L145)),"")))</f>
        <v/>
      </c>
      <c r="V145" s="133">
        <f>IF(U145="","",IF(U145="SL",K145,IF(U145="TP",N145,"")))</f>
        <v/>
      </c>
      <c r="X145" s="125">
        <f>IF(O145="","",IF(AND(O145="Buy",$E$24&lt;J145),"SL",IF(AND(O145="Buy",$D$24&gt;M145),"TP",IF(AND(O145="Sell",$D$24&gt;J145),"SL",IF(AND(O145="Sell",$E$24&lt;M145),"TP","")))))</f>
        <v/>
      </c>
    </row>
    <row r="146" spans="1:24">
      <c r="A146" s="125" t="n">
        <v>120</v>
      </c>
      <c r="B146" s="137" t="n"/>
      <c r="G146" s="122" t="n"/>
      <c r="H146" s="122" t="n"/>
      <c r="I146" s="122" t="n"/>
      <c r="K146" s="133" t="n"/>
      <c r="N146" s="133" t="n"/>
      <c r="S146" s="154">
        <f>IF(P146="","",IF(P146="L",ABS((M146-L146)/(L146-J146)),IF(P146="S",ABS((L146-M146)/(J146-L146)),"")))</f>
        <v/>
      </c>
      <c r="V146" s="133">
        <f>IF(U146="","",IF(U146="SL",K146,IF(U146="TP",N146,"")))</f>
        <v/>
      </c>
      <c r="X146" s="125">
        <f>IF(O146="","",IF(AND(O146="Buy",$E$24&lt;J146),"SL",IF(AND(O146="Buy",$D$24&gt;M146),"TP",IF(AND(O146="Sell",$D$24&gt;J146),"SL",IF(AND(O146="Sell",$E$24&lt;M146),"TP","")))))</f>
        <v/>
      </c>
    </row>
    <row r="147" spans="1:24">
      <c r="A147" s="125" t="n">
        <v>121</v>
      </c>
      <c r="B147" s="137" t="n"/>
      <c r="G147" s="122" t="n"/>
      <c r="H147" s="122" t="n"/>
      <c r="I147" s="122" t="n"/>
      <c r="K147" s="133" t="n"/>
      <c r="N147" s="133" t="n"/>
      <c r="S147" s="154">
        <f>IF(P147="","",IF(P147="L",ABS((M147-L147)/(L147-J147)),IF(P147="S",ABS((L147-M147)/(J147-L147)),"")))</f>
        <v/>
      </c>
      <c r="V147" s="133">
        <f>IF(U147="","",IF(U147="SL",K147,IF(U147="TP",N147,"")))</f>
        <v/>
      </c>
      <c r="X147" s="125">
        <f>IF(O147="","",IF(AND(O147="Buy",$E$24&lt;J147),"SL",IF(AND(O147="Buy",$D$24&gt;M147),"TP",IF(AND(O147="Sell",$D$24&gt;J147),"SL",IF(AND(O147="Sell",$E$24&lt;M147),"TP","")))))</f>
        <v/>
      </c>
    </row>
    <row r="148" spans="1:24">
      <c r="A148" s="125" t="n">
        <v>122</v>
      </c>
      <c r="B148" s="137" t="n"/>
      <c r="G148" s="122" t="n"/>
      <c r="H148" s="122" t="n"/>
      <c r="I148" s="122" t="n"/>
      <c r="K148" s="133" t="n"/>
      <c r="N148" s="133" t="n"/>
      <c r="S148" s="154">
        <f>IF(P148="","",IF(P148="L",ABS((M148-L148)/(L148-J148)),IF(P148="S",ABS((L148-M148)/(J148-L148)),"")))</f>
        <v/>
      </c>
      <c r="V148" s="133">
        <f>IF(U148="","",IF(U148="SL",K148,IF(U148="TP",N148,"")))</f>
        <v/>
      </c>
      <c r="X148" s="125">
        <f>IF(O148="","",IF(AND(O148="Buy",$E$24&lt;J148),"SL",IF(AND(O148="Buy",$D$24&gt;M148),"TP",IF(AND(O148="Sell",$D$24&gt;J148),"SL",IF(AND(O148="Sell",$E$24&lt;M148),"TP","")))))</f>
        <v/>
      </c>
    </row>
    <row r="149" spans="1:24">
      <c r="A149" s="125" t="n">
        <v>123</v>
      </c>
      <c r="B149" s="137" t="n"/>
      <c r="G149" s="122" t="n"/>
      <c r="H149" s="122" t="n"/>
      <c r="I149" s="122" t="n"/>
      <c r="K149" s="133" t="n"/>
      <c r="N149" s="133" t="n"/>
      <c r="S149" s="154">
        <f>IF(P149="","",IF(P149="L",ABS((M149-L149)/(L149-J149)),IF(P149="S",ABS((L149-M149)/(J149-L149)),"")))</f>
        <v/>
      </c>
      <c r="V149" s="133">
        <f>IF(U149="","",IF(U149="SL",K149,IF(U149="TP",N149,"")))</f>
        <v/>
      </c>
      <c r="X149" s="125">
        <f>IF(O149="","",IF(AND(O149="Buy",$E$24&lt;J149),"SL",IF(AND(O149="Buy",$D$24&gt;M149),"TP",IF(AND(O149="Sell",$D$24&gt;J149),"SL",IF(AND(O149="Sell",$E$24&lt;M149),"TP","")))))</f>
        <v/>
      </c>
    </row>
    <row r="150" spans="1:24">
      <c r="A150" s="125" t="n">
        <v>124</v>
      </c>
      <c r="B150" s="137" t="n"/>
      <c r="G150" s="122" t="n"/>
      <c r="H150" s="122" t="n"/>
      <c r="I150" s="122" t="n"/>
      <c r="K150" s="133" t="n"/>
      <c r="N150" s="133" t="n"/>
      <c r="S150" s="154">
        <f>IF(P150="","",IF(P150="L",ABS((M150-L150)/(L150-J150)),IF(P150="S",ABS((L150-M150)/(J150-L150)),"")))</f>
        <v/>
      </c>
      <c r="V150" s="133">
        <f>IF(U150="","",IF(U150="SL",K150,IF(U150="TP",N150,"")))</f>
        <v/>
      </c>
      <c r="X150" s="125">
        <f>IF(O150="","",IF(AND(O150="Buy",$E$24&lt;J150),"SL",IF(AND(O150="Buy",$D$24&gt;M150),"TP",IF(AND(O150="Sell",$D$24&gt;J150),"SL",IF(AND(O150="Sell",$E$24&lt;M150),"TP","")))))</f>
        <v/>
      </c>
    </row>
    <row r="151" spans="1:24">
      <c r="A151" s="125" t="n">
        <v>125</v>
      </c>
      <c r="B151" s="137" t="n"/>
      <c r="G151" s="122" t="n"/>
      <c r="H151" s="122" t="n"/>
      <c r="I151" s="122" t="n"/>
      <c r="K151" s="133" t="n"/>
      <c r="N151" s="133" t="n"/>
      <c r="S151" s="154">
        <f>IF(P151="","",IF(P151="L",ABS((M151-L151)/(L151-J151)),IF(P151="S",ABS((L151-M151)/(J151-L151)),"")))</f>
        <v/>
      </c>
      <c r="V151" s="133">
        <f>IF(U151="","",IF(U151="SL",K151,IF(U151="TP",N151,"")))</f>
        <v/>
      </c>
      <c r="X151" s="125">
        <f>IF(O151="","",IF(AND(O151="Buy",$E$24&lt;J151),"SL",IF(AND(O151="Buy",$D$24&gt;M151),"TP",IF(AND(O151="Sell",$D$24&gt;J151),"SL",IF(AND(O151="Sell",$E$24&lt;M151),"TP","")))))</f>
        <v/>
      </c>
    </row>
    <row r="152" spans="1:24">
      <c r="A152" s="125" t="n">
        <v>126</v>
      </c>
      <c r="B152" s="137" t="n"/>
      <c r="G152" s="122" t="n"/>
      <c r="H152" s="122" t="n"/>
      <c r="I152" s="122" t="n"/>
      <c r="K152" s="133" t="n"/>
      <c r="N152" s="133" t="n"/>
      <c r="S152" s="154">
        <f>IF(P152="","",IF(P152="L",ABS((M152-L152)/(L152-J152)),IF(P152="S",ABS((L152-M152)/(J152-L152)),"")))</f>
        <v/>
      </c>
      <c r="V152" s="133">
        <f>IF(U152="","",IF(U152="SL",K152,IF(U152="TP",N152,"")))</f>
        <v/>
      </c>
      <c r="X152" s="125">
        <f>IF(O152="","",IF(AND(O152="Buy",$E$24&lt;J152),"SL",IF(AND(O152="Buy",$D$24&gt;M152),"TP",IF(AND(O152="Sell",$D$24&gt;J152),"SL",IF(AND(O152="Sell",$E$24&lt;M152),"TP","")))))</f>
        <v/>
      </c>
    </row>
    <row r="153" spans="1:24">
      <c r="A153" s="125" t="n">
        <v>127</v>
      </c>
      <c r="B153" s="137" t="n"/>
      <c r="G153" s="122" t="n"/>
      <c r="H153" s="122" t="n"/>
      <c r="I153" s="122" t="n"/>
      <c r="K153" s="133" t="n"/>
      <c r="N153" s="133" t="n"/>
      <c r="S153" s="154">
        <f>IF(P153="","",IF(P153="L",ABS((M153-L153)/(L153-J153)),IF(P153="S",ABS((L153-M153)/(J153-L153)),"")))</f>
        <v/>
      </c>
      <c r="V153" s="133">
        <f>IF(U153="","",IF(U153="SL",K153,IF(U153="TP",N153,"")))</f>
        <v/>
      </c>
      <c r="X153" s="125">
        <f>IF(O153="","",IF(AND(O153="Buy",$E$24&lt;J153),"SL",IF(AND(O153="Buy",$D$24&gt;M153),"TP",IF(AND(O153="Sell",$D$24&gt;J153),"SL",IF(AND(O153="Sell",$E$24&lt;M153),"TP","")))))</f>
        <v/>
      </c>
    </row>
    <row r="154" spans="1:24">
      <c r="A154" s="125" t="n">
        <v>128</v>
      </c>
      <c r="B154" s="137" t="n"/>
      <c r="G154" s="122" t="n"/>
      <c r="H154" s="122" t="n"/>
      <c r="I154" s="122" t="n"/>
      <c r="K154" s="133" t="n"/>
      <c r="N154" s="133" t="n"/>
      <c r="S154" s="154">
        <f>IF(P154="","",IF(P154="L",ABS((M154-L154)/(L154-J154)),IF(P154="S",ABS((L154-M154)/(J154-L154)),"")))</f>
        <v/>
      </c>
      <c r="V154" s="133">
        <f>IF(U154="","",IF(U154="SL",K154,IF(U154="TP",N154,"")))</f>
        <v/>
      </c>
      <c r="X154" s="125">
        <f>IF(O154="","",IF(AND(O154="Buy",$E$24&lt;J154),"SL",IF(AND(O154="Buy",$D$24&gt;M154),"TP",IF(AND(O154="Sell",$D$24&gt;J154),"SL",IF(AND(O154="Sell",$E$24&lt;M154),"TP","")))))</f>
        <v/>
      </c>
    </row>
    <row r="155" spans="1:24">
      <c r="A155" s="125" t="n">
        <v>129</v>
      </c>
      <c r="B155" s="137" t="n"/>
      <c r="G155" s="122" t="n"/>
      <c r="H155" s="122" t="n"/>
      <c r="I155" s="122" t="n"/>
      <c r="K155" s="133" t="n"/>
      <c r="N155" s="133" t="n"/>
      <c r="S155" s="154">
        <f>IF(P155="","",IF(P155="L",ABS((M155-L155)/(L155-J155)),IF(P155="S",ABS((L155-M155)/(J155-L155)),"")))</f>
        <v/>
      </c>
      <c r="V155" s="133">
        <f>IF(U155="","",IF(U155="SL",K155,IF(U155="TP",N155,"")))</f>
        <v/>
      </c>
      <c r="X155" s="125">
        <f>IF(O155="","",IF(AND(O155="Buy",$E$24&lt;J155),"SL",IF(AND(O155="Buy",$D$24&gt;M155),"TP",IF(AND(O155="Sell",$D$24&gt;J155),"SL",IF(AND(O155="Sell",$E$24&lt;M155),"TP","")))))</f>
        <v/>
      </c>
    </row>
    <row r="156" spans="1:24">
      <c r="A156" s="125" t="n">
        <v>130</v>
      </c>
      <c r="B156" s="137" t="n"/>
      <c r="G156" s="122" t="n"/>
      <c r="H156" s="122" t="n"/>
      <c r="I156" s="122" t="n"/>
      <c r="K156" s="133" t="n"/>
      <c r="N156" s="133" t="n"/>
      <c r="S156" s="154">
        <f>IF(P156="","",IF(P156="L",ABS((M156-L156)/(L156-J156)),IF(P156="S",ABS((L156-M156)/(J156-L156)),"")))</f>
        <v/>
      </c>
      <c r="V156" s="133">
        <f>IF(U156="","",IF(U156="SL",K156,IF(U156="TP",N156,"")))</f>
        <v/>
      </c>
      <c r="X156" s="125">
        <f>IF(O156="","",IF(AND(O156="Buy",$E$24&lt;J156),"SL",IF(AND(O156="Buy",$D$24&gt;M156),"TP",IF(AND(O156="Sell",$D$24&gt;J156),"SL",IF(AND(O156="Sell",$E$24&lt;M156),"TP","")))))</f>
        <v/>
      </c>
    </row>
    <row r="157" spans="1:24">
      <c r="A157" s="125" t="n">
        <v>131</v>
      </c>
      <c r="B157" s="137" t="n"/>
      <c r="G157" s="122" t="n"/>
      <c r="H157" s="122" t="n"/>
      <c r="I157" s="122" t="n"/>
      <c r="K157" s="133" t="n"/>
      <c r="N157" s="133" t="n"/>
      <c r="S157" s="154">
        <f>IF(P157="","",IF(P157="L",ABS((M157-L157)/(L157-J157)),IF(P157="S",ABS((L157-M157)/(J157-L157)),"")))</f>
        <v/>
      </c>
      <c r="V157" s="133">
        <f>IF(U157="","",IF(U157="SL",K157,IF(U157="TP",N157,"")))</f>
        <v/>
      </c>
      <c r="X157" s="125">
        <f>IF(O157="","",IF(AND(O157="Buy",$E$24&lt;J157),"SL",IF(AND(O157="Buy",$D$24&gt;M157),"TP",IF(AND(O157="Sell",$D$24&gt;J157),"SL",IF(AND(O157="Sell",$E$24&lt;M157),"TP","")))))</f>
        <v/>
      </c>
    </row>
    <row r="158" spans="1:24">
      <c r="A158" s="125" t="n">
        <v>132</v>
      </c>
      <c r="B158" s="137" t="n"/>
      <c r="G158" s="122" t="n"/>
      <c r="H158" s="122" t="n"/>
      <c r="I158" s="122" t="n"/>
      <c r="K158" s="133" t="n"/>
      <c r="N158" s="133" t="n"/>
      <c r="S158" s="154">
        <f>IF(P158="","",IF(P158="L",ABS((M158-L158)/(L158-J158)),IF(P158="S",ABS((L158-M158)/(J158-L158)),"")))</f>
        <v/>
      </c>
      <c r="V158" s="133">
        <f>IF(U158="","",IF(U158="SL",K158,IF(U158="TP",N158,"")))</f>
        <v/>
      </c>
      <c r="X158" s="125">
        <f>IF(O158="","",IF(AND(O158="Buy",$E$24&lt;J158),"SL",IF(AND(O158="Buy",$D$24&gt;M158),"TP",IF(AND(O158="Sell",$D$24&gt;J158),"SL",IF(AND(O158="Sell",$E$24&lt;M158),"TP","")))))</f>
        <v/>
      </c>
    </row>
    <row r="159" spans="1:24">
      <c r="A159" s="125" t="n">
        <v>133</v>
      </c>
      <c r="B159" s="137" t="n"/>
      <c r="G159" s="122" t="n"/>
      <c r="H159" s="122" t="n"/>
      <c r="I159" s="122" t="n"/>
      <c r="K159" s="133" t="n"/>
      <c r="N159" s="133" t="n"/>
      <c r="S159" s="154">
        <f>IF(P159="","",IF(P159="L",ABS((M159-L159)/(L159-J159)),IF(P159="S",ABS((L159-M159)/(J159-L159)),"")))</f>
        <v/>
      </c>
      <c r="V159" s="133">
        <f>IF(U159="","",IF(U159="SL",K159,IF(U159="TP",N159,"")))</f>
        <v/>
      </c>
      <c r="X159" s="125">
        <f>IF(O159="","",IF(AND(O159="Buy",$E$24&lt;J159),"SL",IF(AND(O159="Buy",$D$24&gt;M159),"TP",IF(AND(O159="Sell",$D$24&gt;J159),"SL",IF(AND(O159="Sell",$E$24&lt;M159),"TP","")))))</f>
        <v/>
      </c>
    </row>
    <row r="160" spans="1:24">
      <c r="A160" s="125" t="n">
        <v>134</v>
      </c>
      <c r="B160" s="137" t="n"/>
      <c r="G160" s="122" t="n"/>
      <c r="H160" s="122" t="n"/>
      <c r="I160" s="122" t="n"/>
      <c r="K160" s="133" t="n"/>
      <c r="N160" s="133" t="n"/>
      <c r="S160" s="154">
        <f>IF(P160="","",IF(P160="L",ABS((M160-L160)/(L160-J160)),IF(P160="S",ABS((L160-M160)/(J160-L160)),"")))</f>
        <v/>
      </c>
      <c r="V160" s="133">
        <f>IF(U160="","",IF(U160="SL",K160,IF(U160="TP",N160,"")))</f>
        <v/>
      </c>
      <c r="X160" s="125">
        <f>IF(O160="","",IF(AND(O160="Buy",$E$24&lt;J160),"SL",IF(AND(O160="Buy",$D$24&gt;M160),"TP",IF(AND(O160="Sell",$D$24&gt;J160),"SL",IF(AND(O160="Sell",$E$24&lt;M160),"TP","")))))</f>
        <v/>
      </c>
    </row>
    <row r="161" spans="1:24">
      <c r="A161" s="125" t="n">
        <v>135</v>
      </c>
      <c r="B161" s="137" t="n"/>
      <c r="G161" s="122" t="n"/>
      <c r="H161" s="122" t="n"/>
      <c r="I161" s="122" t="n"/>
      <c r="K161" s="133" t="n"/>
      <c r="N161" s="133" t="n"/>
      <c r="S161" s="154">
        <f>IF(P161="","",IF(P161="L",ABS((M161-L161)/(L161-J161)),IF(P161="S",ABS((L161-M161)/(J161-L161)),"")))</f>
        <v/>
      </c>
      <c r="V161" s="133">
        <f>IF(U161="","",IF(U161="SL",K161,IF(U161="TP",N161,"")))</f>
        <v/>
      </c>
      <c r="X161" s="125">
        <f>IF(O161="","",IF(AND(O161="Buy",$E$24&lt;J161),"SL",IF(AND(O161="Buy",$D$24&gt;M161),"TP",IF(AND(O161="Sell",$D$24&gt;J161),"SL",IF(AND(O161="Sell",$E$24&lt;M161),"TP","")))))</f>
        <v/>
      </c>
    </row>
    <row r="162" spans="1:24">
      <c r="A162" s="125" t="n">
        <v>136</v>
      </c>
      <c r="B162" s="137" t="n"/>
      <c r="G162" s="122" t="n"/>
      <c r="H162" s="122" t="n"/>
      <c r="I162" s="122" t="n"/>
      <c r="K162" s="133" t="n"/>
      <c r="N162" s="133" t="n"/>
      <c r="S162" s="154">
        <f>IF(P162="","",IF(P162="L",ABS((M162-L162)/(L162-J162)),IF(P162="S",ABS((L162-M162)/(J162-L162)),"")))</f>
        <v/>
      </c>
      <c r="V162" s="133">
        <f>IF(U162="","",IF(U162="SL",K162,IF(U162="TP",N162,"")))</f>
        <v/>
      </c>
      <c r="X162" s="125">
        <f>IF(O162="","",IF(AND(O162="Buy",$E$24&lt;J162),"SL",IF(AND(O162="Buy",$D$24&gt;M162),"TP",IF(AND(O162="Sell",$D$24&gt;J162),"SL",IF(AND(O162="Sell",$E$24&lt;M162),"TP","")))))</f>
        <v/>
      </c>
    </row>
    <row r="163" spans="1:24">
      <c r="A163" s="125" t="n">
        <v>137</v>
      </c>
      <c r="B163" s="137" t="n"/>
      <c r="G163" s="122" t="n"/>
      <c r="H163" s="122" t="n"/>
      <c r="I163" s="122" t="n"/>
      <c r="K163" s="133" t="n"/>
      <c r="N163" s="133" t="n"/>
      <c r="S163" s="154">
        <f>IF(P163="","",IF(P163="L",ABS((M163-L163)/(L163-J163)),IF(P163="S",ABS((L163-M163)/(J163-L163)),"")))</f>
        <v/>
      </c>
      <c r="V163" s="133">
        <f>IF(U163="","",IF(U163="SL",K163,IF(U163="TP",N163,"")))</f>
        <v/>
      </c>
      <c r="X163" s="125">
        <f>IF(O163="","",IF(AND(O163="Buy",$E$24&lt;J163),"SL",IF(AND(O163="Buy",$D$24&gt;M163),"TP",IF(AND(O163="Sell",$D$24&gt;J163),"SL",IF(AND(O163="Sell",$E$24&lt;M163),"TP","")))))</f>
        <v/>
      </c>
    </row>
    <row r="164" spans="1:24">
      <c r="A164" s="125" t="n">
        <v>138</v>
      </c>
      <c r="B164" s="137" t="n"/>
      <c r="G164" s="122" t="n"/>
      <c r="H164" s="122" t="n"/>
      <c r="I164" s="122" t="n"/>
      <c r="K164" s="133" t="n"/>
      <c r="N164" s="133" t="n"/>
      <c r="S164" s="154">
        <f>IF(P164="","",IF(P164="L",ABS((M164-L164)/(L164-J164)),IF(P164="S",ABS((L164-M164)/(J164-L164)),"")))</f>
        <v/>
      </c>
      <c r="V164" s="133">
        <f>IF(U164="","",IF(U164="SL",K164,IF(U164="TP",N164,"")))</f>
        <v/>
      </c>
      <c r="X164" s="125">
        <f>IF(O164="","",IF(AND(O164="Buy",$E$24&lt;J164),"SL",IF(AND(O164="Buy",$D$24&gt;M164),"TP",IF(AND(O164="Sell",$D$24&gt;J164),"SL",IF(AND(O164="Sell",$E$24&lt;M164),"TP","")))))</f>
        <v/>
      </c>
    </row>
    <row r="165" spans="1:24">
      <c r="A165" s="125" t="n">
        <v>139</v>
      </c>
      <c r="B165" s="137" t="n"/>
      <c r="G165" s="122" t="n"/>
      <c r="H165" s="122" t="n"/>
      <c r="I165" s="122" t="n"/>
      <c r="K165" s="133" t="n"/>
      <c r="N165" s="133" t="n"/>
      <c r="S165" s="154">
        <f>IF(P165="","",IF(P165="L",ABS((M165-L165)/(L165-J165)),IF(P165="S",ABS((L165-M165)/(J165-L165)),"")))</f>
        <v/>
      </c>
      <c r="V165" s="133">
        <f>IF(U165="","",IF(U165="SL",K165,IF(U165="TP",N165,"")))</f>
        <v/>
      </c>
      <c r="X165" s="125">
        <f>IF(O165="","",IF(AND(O165="Buy",$E$24&lt;J165),"SL",IF(AND(O165="Buy",$D$24&gt;M165),"TP",IF(AND(O165="Sell",$D$24&gt;J165),"SL",IF(AND(O165="Sell",$E$24&lt;M165),"TP","")))))</f>
        <v/>
      </c>
    </row>
    <row r="166" spans="1:24">
      <c r="A166" s="125" t="n">
        <v>140</v>
      </c>
      <c r="B166" s="137" t="n"/>
      <c r="G166" s="122" t="n"/>
      <c r="H166" s="122" t="n"/>
      <c r="I166" s="122" t="n"/>
      <c r="K166" s="133" t="n"/>
      <c r="N166" s="133" t="n"/>
      <c r="S166" s="154">
        <f>IF(P166="","",IF(P166="L",ABS((M166-L166)/(L166-J166)),IF(P166="S",ABS((L166-M166)/(J166-L166)),"")))</f>
        <v/>
      </c>
      <c r="V166" s="133">
        <f>IF(U166="","",IF(U166="SL",K166,IF(U166="TP",N166,"")))</f>
        <v/>
      </c>
      <c r="X166" s="125">
        <f>IF(O166="","",IF(AND(O166="Buy",$E$24&lt;J166),"SL",IF(AND(O166="Buy",$D$24&gt;M166),"TP",IF(AND(O166="Sell",$D$24&gt;J166),"SL",IF(AND(O166="Sell",$E$24&lt;M166),"TP","")))))</f>
        <v/>
      </c>
    </row>
    <row r="167" spans="1:24">
      <c r="A167" s="125" t="n">
        <v>141</v>
      </c>
      <c r="B167" s="137" t="n"/>
      <c r="G167" s="122" t="n"/>
      <c r="H167" s="122" t="n"/>
      <c r="I167" s="122" t="n"/>
      <c r="K167" s="133" t="n"/>
      <c r="N167" s="133" t="n"/>
      <c r="S167" s="154">
        <f>IF(P167="","",IF(P167="L",ABS((M167-L167)/(L167-J167)),IF(P167="S",ABS((L167-M167)/(J167-L167)),"")))</f>
        <v/>
      </c>
      <c r="V167" s="133">
        <f>IF(U167="","",IF(U167="SL",K167,IF(U167="TP",N167,"")))</f>
        <v/>
      </c>
      <c r="X167" s="125">
        <f>IF(O167="","",IF(AND(O167="Buy",$E$24&lt;J167),"SL",IF(AND(O167="Buy",$D$24&gt;M167),"TP",IF(AND(O167="Sell",$D$24&gt;J167),"SL",IF(AND(O167="Sell",$E$24&lt;M167),"TP","")))))</f>
        <v/>
      </c>
    </row>
    <row r="168" spans="1:24">
      <c r="A168" s="125" t="n">
        <v>142</v>
      </c>
      <c r="B168" s="137" t="n"/>
      <c r="G168" s="122" t="n"/>
      <c r="H168" s="122" t="n"/>
      <c r="I168" s="122" t="n"/>
      <c r="K168" s="133" t="n"/>
      <c r="N168" s="133" t="n"/>
      <c r="S168" s="154">
        <f>IF(P168="","",IF(P168="L",ABS((M168-L168)/(L168-J168)),IF(P168="S",ABS((L168-M168)/(J168-L168)),"")))</f>
        <v/>
      </c>
      <c r="V168" s="133">
        <f>IF(U168="","",IF(U168="SL",K168,IF(U168="TP",N168,"")))</f>
        <v/>
      </c>
      <c r="X168" s="125">
        <f>IF(O168="","",IF(AND(O168="Buy",$E$24&lt;J168),"SL",IF(AND(O168="Buy",$D$24&gt;M168),"TP",IF(AND(O168="Sell",$D$24&gt;J168),"SL",IF(AND(O168="Sell",$E$24&lt;M168),"TP","")))))</f>
        <v/>
      </c>
    </row>
    <row r="169" spans="1:24">
      <c r="A169" s="125" t="n">
        <v>143</v>
      </c>
      <c r="B169" s="137" t="n"/>
      <c r="G169" s="122" t="n"/>
      <c r="H169" s="122" t="n"/>
      <c r="I169" s="122" t="n"/>
      <c r="K169" s="133" t="n"/>
      <c r="N169" s="133" t="n"/>
      <c r="S169" s="154">
        <f>IF(P169="","",IF(P169="L",ABS((M169-L169)/(L169-J169)),IF(P169="S",ABS((L169-M169)/(J169-L169)),"")))</f>
        <v/>
      </c>
      <c r="V169" s="133">
        <f>IF(U169="","",IF(U169="SL",K169,IF(U169="TP",N169,"")))</f>
        <v/>
      </c>
      <c r="X169" s="125">
        <f>IF(O169="","",IF(AND(O169="Buy",$E$24&lt;J169),"SL",IF(AND(O169="Buy",$D$24&gt;M169),"TP",IF(AND(O169="Sell",$D$24&gt;J169),"SL",IF(AND(O169="Sell",$E$24&lt;M169),"TP","")))))</f>
        <v/>
      </c>
    </row>
    <row r="170" spans="1:24">
      <c r="A170" s="125" t="n">
        <v>144</v>
      </c>
      <c r="B170" s="137" t="n"/>
      <c r="G170" s="122" t="n"/>
      <c r="H170" s="122" t="n"/>
      <c r="I170" s="122" t="n"/>
      <c r="K170" s="133" t="n"/>
      <c r="N170" s="133" t="n"/>
      <c r="S170" s="154">
        <f>IF(P170="","",IF(P170="L",ABS((M170-L170)/(L170-J170)),IF(P170="S",ABS((L170-M170)/(J170-L170)),"")))</f>
        <v/>
      </c>
      <c r="V170" s="133">
        <f>IF(U170="","",IF(U170="SL",K170,IF(U170="TP",N170,"")))</f>
        <v/>
      </c>
      <c r="X170" s="125">
        <f>IF(O170="","",IF(AND(O170="Buy",$E$24&lt;J170),"SL",IF(AND(O170="Buy",$D$24&gt;M170),"TP",IF(AND(O170="Sell",$D$24&gt;J170),"SL",IF(AND(O170="Sell",$E$24&lt;M170),"TP","")))))</f>
        <v/>
      </c>
    </row>
    <row r="171" spans="1:24">
      <c r="A171" s="125" t="n">
        <v>145</v>
      </c>
      <c r="B171" s="137" t="n"/>
      <c r="G171" s="122" t="n"/>
      <c r="H171" s="122" t="n"/>
      <c r="I171" s="122" t="n"/>
      <c r="K171" s="133" t="n"/>
      <c r="N171" s="133" t="n"/>
      <c r="S171" s="154">
        <f>IF(P171="","",IF(P171="L",ABS((M171-L171)/(L171-J171)),IF(P171="S",ABS((L171-M171)/(J171-L171)),"")))</f>
        <v/>
      </c>
      <c r="V171" s="133">
        <f>IF(U171="","",IF(U171="SL",K171,IF(U171="TP",N171,"")))</f>
        <v/>
      </c>
      <c r="X171" s="125">
        <f>IF(O171="","",IF(AND(O171="Buy",$E$24&lt;J171),"SL",IF(AND(O171="Buy",$D$24&gt;M171),"TP",IF(AND(O171="Sell",$D$24&gt;J171),"SL",IF(AND(O171="Sell",$E$24&lt;M171),"TP","")))))</f>
        <v/>
      </c>
    </row>
    <row r="172" spans="1:24">
      <c r="A172" s="125" t="n">
        <v>146</v>
      </c>
      <c r="B172" s="137" t="n"/>
      <c r="G172" s="122" t="n"/>
      <c r="H172" s="122" t="n"/>
      <c r="I172" s="122" t="n"/>
      <c r="K172" s="133" t="n"/>
      <c r="N172" s="133" t="n"/>
      <c r="S172" s="154">
        <f>IF(P172="","",IF(P172="L",ABS((M172-L172)/(L172-J172)),IF(P172="S",ABS((L172-M172)/(J172-L172)),"")))</f>
        <v/>
      </c>
      <c r="V172" s="133">
        <f>IF(U172="","",IF(U172="SL",K172,IF(U172="TP",N172,"")))</f>
        <v/>
      </c>
      <c r="X172" s="125">
        <f>IF(O172="","",IF(AND(O172="Buy",$E$24&lt;J172),"SL",IF(AND(O172="Buy",$D$24&gt;M172),"TP",IF(AND(O172="Sell",$D$24&gt;J172),"SL",IF(AND(O172="Sell",$E$24&lt;M172),"TP","")))))</f>
        <v/>
      </c>
    </row>
    <row r="173" spans="1:24">
      <c r="A173" s="125" t="n">
        <v>147</v>
      </c>
      <c r="B173" s="137" t="n"/>
      <c r="G173" s="122" t="n"/>
      <c r="H173" s="122" t="n"/>
      <c r="I173" s="122" t="n"/>
      <c r="K173" s="133" t="n"/>
      <c r="N173" s="133" t="n"/>
      <c r="S173" s="154">
        <f>IF(P173="","",IF(P173="L",ABS((M173-L173)/(L173-J173)),IF(P173="S",ABS((L173-M173)/(J173-L173)),"")))</f>
        <v/>
      </c>
      <c r="V173" s="133">
        <f>IF(U173="","",IF(U173="SL",K173,IF(U173="TP",N173,"")))</f>
        <v/>
      </c>
      <c r="X173" s="125">
        <f>IF(O173="","",IF(AND(O173="Buy",$E$24&lt;J173),"SL",IF(AND(O173="Buy",$D$24&gt;M173),"TP",IF(AND(O173="Sell",$D$24&gt;J173),"SL",IF(AND(O173="Sell",$E$24&lt;M173),"TP","")))))</f>
        <v/>
      </c>
    </row>
    <row r="174" spans="1:24">
      <c r="A174" s="125" t="n">
        <v>148</v>
      </c>
      <c r="B174" s="137" t="n"/>
      <c r="G174" s="122" t="n"/>
      <c r="H174" s="122" t="n"/>
      <c r="I174" s="122" t="n"/>
      <c r="K174" s="133" t="n"/>
      <c r="N174" s="133" t="n"/>
      <c r="S174" s="154">
        <f>IF(P174="","",IF(P174="L",ABS((M174-L174)/(L174-J174)),IF(P174="S",ABS((L174-M174)/(J174-L174)),"")))</f>
        <v/>
      </c>
      <c r="V174" s="133">
        <f>IF(U174="","",IF(U174="SL",K174,IF(U174="TP",N174,"")))</f>
        <v/>
      </c>
      <c r="X174" s="125">
        <f>IF(O174="","",IF(AND(O174="Buy",$E$24&lt;J174),"SL",IF(AND(O174="Buy",$D$24&gt;M174),"TP",IF(AND(O174="Sell",$D$24&gt;J174),"SL",IF(AND(O174="Sell",$E$24&lt;M174),"TP","")))))</f>
        <v/>
      </c>
    </row>
    <row r="175" spans="1:24">
      <c r="A175" s="125" t="n">
        <v>149</v>
      </c>
      <c r="B175" s="137" t="n"/>
      <c r="G175" s="122" t="n"/>
      <c r="H175" s="122" t="n"/>
      <c r="I175" s="122" t="n"/>
      <c r="K175" s="133" t="n"/>
      <c r="N175" s="133" t="n"/>
      <c r="S175" s="154">
        <f>IF(P175="","",IF(P175="L",ABS((M175-L175)/(L175-J175)),IF(P175="S",ABS((L175-M175)/(J175-L175)),"")))</f>
        <v/>
      </c>
      <c r="V175" s="133">
        <f>IF(U175="","",IF(U175="SL",K175,IF(U175="TP",N175,"")))</f>
        <v/>
      </c>
      <c r="X175" s="125">
        <f>IF(O175="","",IF(AND(O175="Buy",$E$24&lt;J175),"SL",IF(AND(O175="Buy",$D$24&gt;M175),"TP",IF(AND(O175="Sell",$D$24&gt;J175),"SL",IF(AND(O175="Sell",$E$24&lt;M175),"TP","")))))</f>
        <v/>
      </c>
    </row>
    <row r="176" spans="1:24">
      <c r="A176" s="125" t="n">
        <v>150</v>
      </c>
      <c r="B176" s="137" t="n"/>
      <c r="G176" s="122" t="n"/>
      <c r="H176" s="122" t="n"/>
      <c r="I176" s="122" t="n"/>
      <c r="K176" s="133" t="n"/>
      <c r="N176" s="133" t="n"/>
      <c r="S176" s="154">
        <f>IF(P176="","",IF(P176="L",ABS((M176-L176)/(L176-J176)),IF(P176="S",ABS((L176-M176)/(J176-L176)),"")))</f>
        <v/>
      </c>
      <c r="V176" s="133">
        <f>IF(U176="","",IF(U176="SL",K176,IF(U176="TP",N176,"")))</f>
        <v/>
      </c>
      <c r="X176" s="125">
        <f>IF(O176="","",IF(AND(O176="Buy",$E$24&lt;J176),"SL",IF(AND(O176="Buy",$D$24&gt;M176),"TP",IF(AND(O176="Sell",$D$24&gt;J176),"SL",IF(AND(O176="Sell",$E$24&lt;M176),"TP","")))))</f>
        <v/>
      </c>
    </row>
    <row r="177" spans="1:24">
      <c r="A177" s="125" t="n">
        <v>151</v>
      </c>
      <c r="B177" s="137" t="n"/>
      <c r="G177" s="122" t="n"/>
      <c r="H177" s="122" t="n"/>
      <c r="I177" s="122" t="n"/>
      <c r="K177" s="133" t="n"/>
      <c r="N177" s="133" t="n"/>
      <c r="S177" s="154">
        <f>IF(P177="","",IF(P177="L",ABS((M177-L177)/(L177-J177)),IF(P177="S",ABS((L177-M177)/(J177-L177)),"")))</f>
        <v/>
      </c>
      <c r="V177" s="133">
        <f>IF(U177="","",IF(U177="SL",K177,IF(U177="TP",N177,"")))</f>
        <v/>
      </c>
      <c r="X177" s="125">
        <f>IF(O177="","",IF(AND(O177="Buy",$E$24&lt;J177),"SL",IF(AND(O177="Buy",$D$24&gt;M177),"TP",IF(AND(O177="Sell",$D$24&gt;J177),"SL",IF(AND(O177="Sell",$E$24&lt;M177),"TP","")))))</f>
        <v/>
      </c>
    </row>
    <row r="178" spans="1:24">
      <c r="A178" s="125" t="n">
        <v>152</v>
      </c>
      <c r="B178" s="137" t="n"/>
      <c r="G178" s="122" t="n"/>
      <c r="H178" s="122" t="n"/>
      <c r="I178" s="122" t="n"/>
      <c r="K178" s="133" t="n"/>
      <c r="N178" s="133" t="n"/>
      <c r="S178" s="154">
        <f>IF(P178="","",IF(P178="L",ABS((M178-L178)/(L178-J178)),IF(P178="S",ABS((L178-M178)/(J178-L178)),"")))</f>
        <v/>
      </c>
      <c r="V178" s="133">
        <f>IF(U178="","",IF(U178="SL",K178,IF(U178="TP",N178,"")))</f>
        <v/>
      </c>
      <c r="X178" s="125">
        <f>IF(O178="","",IF(AND(O178="Buy",$E$24&lt;J178),"SL",IF(AND(O178="Buy",$D$24&gt;M178),"TP",IF(AND(O178="Sell",$D$24&gt;J178),"SL",IF(AND(O178="Sell",$E$24&lt;M178),"TP","")))))</f>
        <v/>
      </c>
    </row>
    <row r="179" spans="1:24">
      <c r="A179" s="125" t="n">
        <v>153</v>
      </c>
      <c r="B179" s="137" t="n"/>
      <c r="G179" s="122" t="n"/>
      <c r="H179" s="122" t="n"/>
      <c r="I179" s="122" t="n"/>
      <c r="K179" s="133" t="n"/>
      <c r="N179" s="133" t="n"/>
      <c r="S179" s="154">
        <f>IF(P179="","",IF(P179="L",ABS((M179-L179)/(L179-J179)),IF(P179="S",ABS((L179-M179)/(J179-L179)),"")))</f>
        <v/>
      </c>
      <c r="V179" s="133">
        <f>IF(U179="","",IF(U179="SL",K179,IF(U179="TP",N179,"")))</f>
        <v/>
      </c>
      <c r="X179" s="125">
        <f>IF(O179="","",IF(AND(O179="Buy",$E$24&lt;J179),"SL",IF(AND(O179="Buy",$D$24&gt;M179),"TP",IF(AND(O179="Sell",$D$24&gt;J179),"SL",IF(AND(O179="Sell",$E$24&lt;M179),"TP","")))))</f>
        <v/>
      </c>
    </row>
    <row r="180" spans="1:24">
      <c r="A180" s="125" t="n">
        <v>154</v>
      </c>
      <c r="B180" s="137" t="n"/>
      <c r="G180" s="122" t="n"/>
      <c r="H180" s="122" t="n"/>
      <c r="I180" s="122" t="n"/>
      <c r="K180" s="133" t="n"/>
      <c r="N180" s="133" t="n"/>
      <c r="S180" s="154">
        <f>IF(P180="","",IF(P180="L",ABS((M180-L180)/(L180-J180)),IF(P180="S",ABS((L180-M180)/(J180-L180)),"")))</f>
        <v/>
      </c>
      <c r="V180" s="133">
        <f>IF(U180="","",IF(U180="SL",K180,IF(U180="TP",N180,"")))</f>
        <v/>
      </c>
      <c r="X180" s="125">
        <f>IF(O180="","",IF(AND(O180="Buy",$E$24&lt;J180),"SL",IF(AND(O180="Buy",$D$24&gt;M180),"TP",IF(AND(O180="Sell",$D$24&gt;J180),"SL",IF(AND(O180="Sell",$E$24&lt;M180),"TP","")))))</f>
        <v/>
      </c>
    </row>
    <row r="181" spans="1:24">
      <c r="A181" s="125" t="n">
        <v>155</v>
      </c>
      <c r="B181" s="137" t="n"/>
      <c r="G181" s="122" t="n"/>
      <c r="H181" s="122" t="n"/>
      <c r="I181" s="122" t="n"/>
      <c r="K181" s="133" t="n"/>
      <c r="N181" s="133" t="n"/>
      <c r="S181" s="154">
        <f>IF(P181="","",IF(P181="L",ABS((M181-L181)/(L181-J181)),IF(P181="S",ABS((L181-M181)/(J181-L181)),"")))</f>
        <v/>
      </c>
      <c r="V181" s="133">
        <f>IF(U181="","",IF(U181="SL",K181,IF(U181="TP",N181,"")))</f>
        <v/>
      </c>
      <c r="X181" s="125">
        <f>IF(O181="","",IF(AND(O181="Buy",$E$24&lt;J181),"SL",IF(AND(O181="Buy",$D$24&gt;M181),"TP",IF(AND(O181="Sell",$D$24&gt;J181),"SL",IF(AND(O181="Sell",$E$24&lt;M181),"TP","")))))</f>
        <v/>
      </c>
    </row>
    <row r="182" spans="1:24">
      <c r="A182" s="125" t="n">
        <v>156</v>
      </c>
      <c r="B182" s="137" t="n"/>
      <c r="G182" s="122" t="n"/>
      <c r="H182" s="122" t="n"/>
      <c r="I182" s="122" t="n"/>
      <c r="K182" s="133" t="n"/>
      <c r="N182" s="133" t="n"/>
      <c r="S182" s="154">
        <f>IF(P182="","",IF(P182="L",ABS((M182-L182)/(L182-J182)),IF(P182="S",ABS((L182-M182)/(J182-L182)),"")))</f>
        <v/>
      </c>
      <c r="V182" s="133">
        <f>IF(U182="","",IF(U182="SL",K182,IF(U182="TP",N182,"")))</f>
        <v/>
      </c>
      <c r="X182" s="125">
        <f>IF(O182="","",IF(AND(O182="Buy",$E$24&lt;J182),"SL",IF(AND(O182="Buy",$D$24&gt;M182),"TP",IF(AND(O182="Sell",$D$24&gt;J182),"SL",IF(AND(O182="Sell",$E$24&lt;M182),"TP","")))))</f>
        <v/>
      </c>
    </row>
    <row r="183" spans="1:24">
      <c r="A183" s="125" t="n">
        <v>157</v>
      </c>
      <c r="B183" s="137" t="n"/>
      <c r="G183" s="122" t="n"/>
      <c r="H183" s="122" t="n"/>
      <c r="I183" s="122" t="n"/>
      <c r="K183" s="133" t="n"/>
      <c r="N183" s="133" t="n"/>
      <c r="S183" s="154">
        <f>IF(P183="","",IF(P183="L",ABS((M183-L183)/(L183-J183)),IF(P183="S",ABS((L183-M183)/(J183-L183)),"")))</f>
        <v/>
      </c>
      <c r="V183" s="133">
        <f>IF(U183="","",IF(U183="SL",K183,IF(U183="TP",N183,"")))</f>
        <v/>
      </c>
      <c r="X183" s="125">
        <f>IF(O183="","",IF(AND(O183="Buy",$E$24&lt;J183),"SL",IF(AND(O183="Buy",$D$24&gt;M183),"TP",IF(AND(O183="Sell",$D$24&gt;J183),"SL",IF(AND(O183="Sell",$E$24&lt;M183),"TP","")))))</f>
        <v/>
      </c>
    </row>
    <row r="184" spans="1:24">
      <c r="A184" s="125" t="n">
        <v>158</v>
      </c>
      <c r="B184" s="137" t="n"/>
      <c r="G184" s="122" t="n"/>
      <c r="H184" s="122" t="n"/>
      <c r="I184" s="122" t="n"/>
      <c r="K184" s="133" t="n"/>
      <c r="N184" s="133" t="n"/>
      <c r="S184" s="154">
        <f>IF(P184="","",IF(P184="L",ABS((M184-L184)/(L184-J184)),IF(P184="S",ABS((L184-M184)/(J184-L184)),"")))</f>
        <v/>
      </c>
      <c r="V184" s="133">
        <f>IF(U184="","",IF(U184="SL",K184,IF(U184="TP",N184,"")))</f>
        <v/>
      </c>
      <c r="X184" s="125">
        <f>IF(O184="","",IF(AND(O184="Buy",$E$24&lt;J184),"SL",IF(AND(O184="Buy",$D$24&gt;M184),"TP",IF(AND(O184="Sell",$D$24&gt;J184),"SL",IF(AND(O184="Sell",$E$24&lt;M184),"TP","")))))</f>
        <v/>
      </c>
    </row>
    <row r="185" spans="1:24">
      <c r="A185" s="125" t="n">
        <v>159</v>
      </c>
      <c r="B185" s="137" t="n"/>
      <c r="G185" s="122" t="n"/>
      <c r="H185" s="122" t="n"/>
      <c r="I185" s="122" t="n"/>
      <c r="K185" s="133" t="n"/>
      <c r="N185" s="133" t="n"/>
      <c r="S185" s="154">
        <f>IF(P185="","",IF(P185="L",ABS((M185-L185)/(L185-J185)),IF(P185="S",ABS((L185-M185)/(J185-L185)),"")))</f>
        <v/>
      </c>
      <c r="V185" s="133">
        <f>IF(U185="","",IF(U185="SL",K185,IF(U185="TP",N185,"")))</f>
        <v/>
      </c>
      <c r="X185" s="125">
        <f>IF(O185="","",IF(AND(O185="Buy",$E$24&lt;J185),"SL",IF(AND(O185="Buy",$D$24&gt;M185),"TP",IF(AND(O185="Sell",$D$24&gt;J185),"SL",IF(AND(O185="Sell",$E$24&lt;M185),"TP","")))))</f>
        <v/>
      </c>
    </row>
    <row r="186" spans="1:24">
      <c r="A186" s="125" t="n">
        <v>160</v>
      </c>
      <c r="B186" s="137" t="n"/>
      <c r="G186" s="122" t="n"/>
      <c r="H186" s="122" t="n"/>
      <c r="I186" s="122" t="n"/>
      <c r="K186" s="133" t="n"/>
      <c r="N186" s="133" t="n"/>
      <c r="S186" s="154">
        <f>IF(P186="","",IF(P186="L",ABS((M186-L186)/(L186-J186)),IF(P186="S",ABS((L186-M186)/(J186-L186)),"")))</f>
        <v/>
      </c>
      <c r="V186" s="133">
        <f>IF(U186="","",IF(U186="SL",K186,IF(U186="TP",N186,"")))</f>
        <v/>
      </c>
      <c r="X186" s="125">
        <f>IF(O186="","",IF(AND(O186="Buy",$E$24&lt;J186),"SL",IF(AND(O186="Buy",$D$24&gt;M186),"TP",IF(AND(O186="Sell",$D$24&gt;J186),"SL",IF(AND(O186="Sell",$E$24&lt;M186),"TP","")))))</f>
        <v/>
      </c>
    </row>
    <row r="187" spans="1:24">
      <c r="A187" s="125" t="n">
        <v>161</v>
      </c>
      <c r="B187" s="137" t="n"/>
      <c r="G187" s="122" t="n"/>
      <c r="H187" s="122" t="n"/>
      <c r="I187" s="122" t="n"/>
      <c r="K187" s="133" t="n"/>
      <c r="N187" s="133" t="n"/>
      <c r="S187" s="154">
        <f>IF(P187="","",IF(P187="L",ABS((M187-L187)/(L187-J187)),IF(P187="S",ABS((L187-M187)/(J187-L187)),"")))</f>
        <v/>
      </c>
      <c r="V187" s="133">
        <f>IF(U187="","",IF(U187="SL",K187,IF(U187="TP",N187,"")))</f>
        <v/>
      </c>
      <c r="X187" s="125">
        <f>IF(O187="","",IF(AND(O187="Buy",$E$24&lt;J187),"SL",IF(AND(O187="Buy",$D$24&gt;M187),"TP",IF(AND(O187="Sell",$D$24&gt;J187),"SL",IF(AND(O187="Sell",$E$24&lt;M187),"TP","")))))</f>
        <v/>
      </c>
    </row>
    <row r="188" spans="1:24">
      <c r="A188" s="125" t="n">
        <v>162</v>
      </c>
      <c r="B188" s="137" t="n"/>
      <c r="G188" s="122" t="n"/>
      <c r="H188" s="122" t="n"/>
      <c r="I188" s="122" t="n"/>
      <c r="K188" s="133" t="n"/>
      <c r="N188" s="133" t="n"/>
      <c r="S188" s="154">
        <f>IF(P188="","",IF(P188="L",ABS((M188-L188)/(L188-J188)),IF(P188="S",ABS((L188-M188)/(J188-L188)),"")))</f>
        <v/>
      </c>
      <c r="V188" s="133">
        <f>IF(U188="","",IF(U188="SL",K188,IF(U188="TP",N188,"")))</f>
        <v/>
      </c>
      <c r="X188" s="125">
        <f>IF(O188="","",IF(AND(O188="Buy",$E$24&lt;J188),"SL",IF(AND(O188="Buy",$D$24&gt;M188),"TP",IF(AND(O188="Sell",$D$24&gt;J188),"SL",IF(AND(O188="Sell",$E$24&lt;M188),"TP","")))))</f>
        <v/>
      </c>
    </row>
    <row r="189" spans="1:24">
      <c r="A189" s="125" t="n">
        <v>163</v>
      </c>
      <c r="B189" s="137" t="n"/>
      <c r="G189" s="122" t="n"/>
      <c r="H189" s="122" t="n"/>
      <c r="I189" s="122" t="n"/>
      <c r="K189" s="133" t="n"/>
      <c r="N189" s="133" t="n"/>
      <c r="S189" s="154">
        <f>IF(P189="","",IF(P189="L",ABS((M189-L189)/(L189-J189)),IF(P189="S",ABS((L189-M189)/(J189-L189)),"")))</f>
        <v/>
      </c>
      <c r="V189" s="133">
        <f>IF(U189="","",IF(U189="SL",K189,IF(U189="TP",N189,"")))</f>
        <v/>
      </c>
      <c r="X189" s="125">
        <f>IF(O189="","",IF(AND(O189="Buy",$E$24&lt;J189),"SL",IF(AND(O189="Buy",$D$24&gt;M189),"TP",IF(AND(O189="Sell",$D$24&gt;J189),"SL",IF(AND(O189="Sell",$E$24&lt;M189),"TP","")))))</f>
        <v/>
      </c>
    </row>
    <row r="190" spans="1:24">
      <c r="A190" s="125" t="n">
        <v>164</v>
      </c>
      <c r="B190" s="137" t="n"/>
      <c r="G190" s="122" t="n"/>
      <c r="H190" s="122" t="n"/>
      <c r="I190" s="122" t="n"/>
      <c r="K190" s="133" t="n"/>
      <c r="N190" s="133" t="n"/>
      <c r="S190" s="154">
        <f>IF(P190="","",IF(P190="L",ABS((M190-L190)/(L190-J190)),IF(P190="S",ABS((L190-M190)/(J190-L190)),"")))</f>
        <v/>
      </c>
      <c r="V190" s="133">
        <f>IF(U190="","",IF(U190="SL",K190,IF(U190="TP",N190,"")))</f>
        <v/>
      </c>
      <c r="X190" s="125">
        <f>IF(O190="","",IF(AND(O190="Buy",$E$24&lt;J190),"SL",IF(AND(O190="Buy",$D$24&gt;M190),"TP",IF(AND(O190="Sell",$D$24&gt;J190),"SL",IF(AND(O190="Sell",$E$24&lt;M190),"TP","")))))</f>
        <v/>
      </c>
    </row>
    <row r="191" spans="1:24">
      <c r="A191" s="125" t="n">
        <v>165</v>
      </c>
      <c r="B191" s="137" t="n"/>
      <c r="G191" s="122" t="n"/>
      <c r="H191" s="122" t="n"/>
      <c r="I191" s="122" t="n"/>
      <c r="K191" s="133" t="n"/>
      <c r="N191" s="133" t="n"/>
      <c r="S191" s="154">
        <f>IF(P191="","",IF(P191="L",ABS((M191-L191)/(L191-J191)),IF(P191="S",ABS((L191-M191)/(J191-L191)),"")))</f>
        <v/>
      </c>
      <c r="V191" s="133">
        <f>IF(U191="","",IF(U191="SL",K191,IF(U191="TP",N191,"")))</f>
        <v/>
      </c>
      <c r="X191" s="125">
        <f>IF(O191="","",IF(AND(O191="Buy",$E$24&lt;J191),"SL",IF(AND(O191="Buy",$D$24&gt;M191),"TP",IF(AND(O191="Sell",$D$24&gt;J191),"SL",IF(AND(O191="Sell",$E$24&lt;M191),"TP","")))))</f>
        <v/>
      </c>
    </row>
    <row r="192" spans="1:24">
      <c r="A192" s="125" t="n">
        <v>166</v>
      </c>
      <c r="B192" s="137" t="n"/>
      <c r="G192" s="122" t="n"/>
      <c r="H192" s="122" t="n"/>
      <c r="I192" s="122" t="n"/>
      <c r="K192" s="133" t="n"/>
      <c r="N192" s="133" t="n"/>
      <c r="S192" s="154">
        <f>IF(P192="","",IF(P192="L",ABS((M192-L192)/(L192-J192)),IF(P192="S",ABS((L192-M192)/(J192-L192)),"")))</f>
        <v/>
      </c>
      <c r="V192" s="133">
        <f>IF(U192="","",IF(U192="SL",K192,IF(U192="TP",N192,"")))</f>
        <v/>
      </c>
      <c r="X192" s="125">
        <f>IF(O192="","",IF(AND(O192="Buy",$E$24&lt;J192),"SL",IF(AND(O192="Buy",$D$24&gt;M192),"TP",IF(AND(O192="Sell",$D$24&gt;J192),"SL",IF(AND(O192="Sell",$E$24&lt;M192),"TP","")))))</f>
        <v/>
      </c>
    </row>
    <row r="193" spans="1:24">
      <c r="A193" s="125" t="n">
        <v>167</v>
      </c>
      <c r="B193" s="137" t="n"/>
      <c r="G193" s="122" t="n"/>
      <c r="H193" s="122" t="n"/>
      <c r="I193" s="122" t="n"/>
      <c r="K193" s="133" t="n"/>
      <c r="N193" s="133" t="n"/>
      <c r="S193" s="154">
        <f>IF(P193="","",IF(P193="L",ABS((M193-L193)/(L193-J193)),IF(P193="S",ABS((L193-M193)/(J193-L193)),"")))</f>
        <v/>
      </c>
      <c r="V193" s="133">
        <f>IF(U193="","",IF(U193="SL",K193,IF(U193="TP",N193,"")))</f>
        <v/>
      </c>
      <c r="X193" s="125">
        <f>IF(O193="","",IF(AND(O193="Buy",$E$24&lt;J193),"SL",IF(AND(O193="Buy",$D$24&gt;M193),"TP",IF(AND(O193="Sell",$D$24&gt;J193),"SL",IF(AND(O193="Sell",$E$24&lt;M193),"TP","")))))</f>
        <v/>
      </c>
    </row>
    <row r="194" spans="1:24">
      <c r="A194" s="125" t="n">
        <v>168</v>
      </c>
      <c r="B194" s="137" t="n"/>
      <c r="G194" s="122" t="n"/>
      <c r="H194" s="122" t="n"/>
      <c r="I194" s="122" t="n"/>
      <c r="K194" s="133" t="n"/>
      <c r="N194" s="133" t="n"/>
      <c r="S194" s="154">
        <f>IF(P194="","",IF(P194="L",ABS((M194-L194)/(L194-J194)),IF(P194="S",ABS((L194-M194)/(J194-L194)),"")))</f>
        <v/>
      </c>
      <c r="V194" s="133">
        <f>IF(U194="","",IF(U194="SL",K194,IF(U194="TP",N194,"")))</f>
        <v/>
      </c>
      <c r="X194" s="125">
        <f>IF(O194="","",IF(AND(O194="Buy",$E$24&lt;J194),"SL",IF(AND(O194="Buy",$D$24&gt;M194),"TP",IF(AND(O194="Sell",$D$24&gt;J194),"SL",IF(AND(O194="Sell",$E$24&lt;M194),"TP","")))))</f>
        <v/>
      </c>
    </row>
    <row r="195" spans="1:24">
      <c r="A195" s="125" t="n">
        <v>169</v>
      </c>
      <c r="B195" s="137" t="n"/>
      <c r="G195" s="122" t="n"/>
      <c r="H195" s="122" t="n"/>
      <c r="I195" s="122" t="n"/>
      <c r="K195" s="133" t="n"/>
      <c r="N195" s="133" t="n"/>
      <c r="S195" s="154">
        <f>IF(P195="","",IF(P195="L",ABS((M195-L195)/(L195-J195)),IF(P195="S",ABS((L195-M195)/(J195-L195)),"")))</f>
        <v/>
      </c>
      <c r="V195" s="133">
        <f>IF(U195="","",IF(U195="SL",K195,IF(U195="TP",N195,"")))</f>
        <v/>
      </c>
      <c r="X195" s="125">
        <f>IF(O195="","",IF(AND(O195="Buy",$E$24&lt;J195),"SL",IF(AND(O195="Buy",$D$24&gt;M195),"TP",IF(AND(O195="Sell",$D$24&gt;J195),"SL",IF(AND(O195="Sell",$E$24&lt;M195),"TP","")))))</f>
        <v/>
      </c>
    </row>
    <row r="196" spans="1:24">
      <c r="A196" s="125" t="n">
        <v>170</v>
      </c>
      <c r="B196" s="137" t="n"/>
      <c r="G196" s="122" t="n"/>
      <c r="H196" s="122" t="n"/>
      <c r="I196" s="122" t="n"/>
      <c r="K196" s="133" t="n"/>
      <c r="N196" s="133" t="n"/>
      <c r="S196" s="154">
        <f>IF(P196="","",IF(P196="L",ABS((M196-L196)/(L196-J196)),IF(P196="S",ABS((L196-M196)/(J196-L196)),"")))</f>
        <v/>
      </c>
      <c r="V196" s="133">
        <f>IF(U196="","",IF(U196="SL",K196,IF(U196="TP",N196,"")))</f>
        <v/>
      </c>
      <c r="X196" s="125">
        <f>IF(O196="","",IF(AND(O196="Buy",$E$24&lt;J196),"SL",IF(AND(O196="Buy",$D$24&gt;M196),"TP",IF(AND(O196="Sell",$D$24&gt;J196),"SL",IF(AND(O196="Sell",$E$24&lt;M196),"TP","")))))</f>
        <v/>
      </c>
    </row>
    <row r="197" spans="1:24">
      <c r="A197" s="125" t="n">
        <v>171</v>
      </c>
      <c r="B197" s="137" t="n"/>
      <c r="G197" s="122" t="n"/>
      <c r="H197" s="122" t="n"/>
      <c r="I197" s="122" t="n"/>
      <c r="K197" s="133" t="n"/>
      <c r="N197" s="133" t="n"/>
      <c r="S197" s="154">
        <f>IF(P197="","",IF(P197="L",ABS((M197-L197)/(L197-J197)),IF(P197="S",ABS((L197-M197)/(J197-L197)),"")))</f>
        <v/>
      </c>
      <c r="V197" s="133">
        <f>IF(U197="","",IF(U197="SL",K197,IF(U197="TP",N197,"")))</f>
        <v/>
      </c>
      <c r="X197" s="125">
        <f>IF(O197="","",IF(AND(O197="Buy",$E$24&lt;J197),"SL",IF(AND(O197="Buy",$D$24&gt;M197),"TP",IF(AND(O197="Sell",$D$24&gt;J197),"SL",IF(AND(O197="Sell",$E$24&lt;M197),"TP","")))))</f>
        <v/>
      </c>
    </row>
    <row r="198" spans="1:24">
      <c r="A198" s="125" t="n">
        <v>172</v>
      </c>
      <c r="B198" s="137" t="n"/>
      <c r="G198" s="122" t="n"/>
      <c r="H198" s="122" t="n"/>
      <c r="I198" s="122" t="n"/>
      <c r="K198" s="133" t="n"/>
      <c r="N198" s="133" t="n"/>
      <c r="S198" s="154">
        <f>IF(P198="","",IF(P198="L",ABS((M198-L198)/(L198-J198)),IF(P198="S",ABS((L198-M198)/(J198-L198)),"")))</f>
        <v/>
      </c>
      <c r="V198" s="133">
        <f>IF(U198="","",IF(U198="SL",K198,IF(U198="TP",N198,"")))</f>
        <v/>
      </c>
      <c r="X198" s="125">
        <f>IF(O198="","",IF(AND(O198="Buy",$E$24&lt;J198),"SL",IF(AND(O198="Buy",$D$24&gt;M198),"TP",IF(AND(O198="Sell",$D$24&gt;J198),"SL",IF(AND(O198="Sell",$E$24&lt;M198),"TP","")))))</f>
        <v/>
      </c>
    </row>
    <row r="199" spans="1:24">
      <c r="A199" s="125" t="n">
        <v>173</v>
      </c>
      <c r="B199" s="137" t="n"/>
      <c r="G199" s="122" t="n"/>
      <c r="H199" s="122" t="n"/>
      <c r="I199" s="122" t="n"/>
      <c r="K199" s="133" t="n"/>
      <c r="N199" s="133" t="n"/>
      <c r="S199" s="154">
        <f>IF(P199="","",IF(P199="L",ABS((M199-L199)/(L199-J199)),IF(P199="S",ABS((L199-M199)/(J199-L199)),"")))</f>
        <v/>
      </c>
      <c r="V199" s="133">
        <f>IF(U199="","",IF(U199="SL",K199,IF(U199="TP",N199,"")))</f>
        <v/>
      </c>
      <c r="X199" s="125">
        <f>IF(O199="","",IF(AND(O199="Buy",$E$24&lt;J199),"SL",IF(AND(O199="Buy",$D$24&gt;M199),"TP",IF(AND(O199="Sell",$D$24&gt;J199),"SL",IF(AND(O199="Sell",$E$24&lt;M199),"TP","")))))</f>
        <v/>
      </c>
    </row>
    <row r="200" spans="1:24">
      <c r="A200" s="125" t="n">
        <v>174</v>
      </c>
      <c r="B200" s="137" t="n"/>
      <c r="G200" s="122" t="n"/>
      <c r="H200" s="122" t="n"/>
      <c r="I200" s="122" t="n"/>
      <c r="K200" s="133" t="n"/>
      <c r="N200" s="133" t="n"/>
      <c r="S200" s="154">
        <f>IF(P200="","",IF(P200="L",ABS((M200-L200)/(L200-J200)),IF(P200="S",ABS((L200-M200)/(J200-L200)),"")))</f>
        <v/>
      </c>
      <c r="V200" s="133">
        <f>IF(U200="","",IF(U200="SL",K200,IF(U200="TP",N200,"")))</f>
        <v/>
      </c>
      <c r="X200" s="125">
        <f>IF(O200="","",IF(AND(O200="Buy",$E$24&lt;J200),"SL",IF(AND(O200="Buy",$D$24&gt;M200),"TP",IF(AND(O200="Sell",$D$24&gt;J200),"SL",IF(AND(O200="Sell",$E$24&lt;M200),"TP","")))))</f>
        <v/>
      </c>
    </row>
    <row r="201" spans="1:24">
      <c r="A201" s="125" t="n">
        <v>175</v>
      </c>
      <c r="B201" s="137" t="n"/>
      <c r="G201" s="122" t="n"/>
      <c r="H201" s="122" t="n"/>
      <c r="I201" s="122" t="n"/>
      <c r="K201" s="133" t="n"/>
      <c r="N201" s="133" t="n"/>
      <c r="S201" s="154">
        <f>IF(P201="","",IF(P201="L",ABS((M201-L201)/(L201-J201)),IF(P201="S",ABS((L201-M201)/(J201-L201)),"")))</f>
        <v/>
      </c>
      <c r="V201" s="133">
        <f>IF(U201="","",IF(U201="SL",K201,IF(U201="TP",N201,"")))</f>
        <v/>
      </c>
      <c r="X201" s="125">
        <f>IF(O201="","",IF(AND(O201="Buy",$E$24&lt;J201),"SL",IF(AND(O201="Buy",$D$24&gt;M201),"TP",IF(AND(O201="Sell",$D$24&gt;J201),"SL",IF(AND(O201="Sell",$E$24&lt;M201),"TP","")))))</f>
        <v/>
      </c>
    </row>
    <row r="202" spans="1:24">
      <c r="A202" s="125" t="n">
        <v>176</v>
      </c>
      <c r="B202" s="137" t="n"/>
      <c r="G202" s="122" t="n"/>
      <c r="H202" s="122" t="n"/>
      <c r="I202" s="122" t="n"/>
      <c r="K202" s="133" t="n"/>
      <c r="N202" s="133" t="n"/>
      <c r="S202" s="154">
        <f>IF(P202="","",IF(P202="L",ABS((M202-L202)/(L202-J202)),IF(P202="S",ABS((L202-M202)/(J202-L202)),"")))</f>
        <v/>
      </c>
      <c r="V202" s="133">
        <f>IF(U202="","",IF(U202="SL",K202,IF(U202="TP",N202,"")))</f>
        <v/>
      </c>
      <c r="X202" s="125">
        <f>IF(O202="","",IF(AND(O202="Buy",$E$24&lt;J202),"SL",IF(AND(O202="Buy",$D$24&gt;M202),"TP",IF(AND(O202="Sell",$D$24&gt;J202),"SL",IF(AND(O202="Sell",$E$24&lt;M202),"TP","")))))</f>
        <v/>
      </c>
    </row>
    <row r="203" spans="1:24">
      <c r="A203" s="125" t="n">
        <v>177</v>
      </c>
      <c r="B203" s="137" t="n"/>
      <c r="G203" s="122" t="n"/>
      <c r="H203" s="122" t="n"/>
      <c r="I203" s="122" t="n"/>
      <c r="K203" s="133" t="n"/>
      <c r="N203" s="133" t="n"/>
      <c r="S203" s="154">
        <f>IF(P203="","",IF(P203="L",ABS((M203-L203)/(L203-J203)),IF(P203="S",ABS((L203-M203)/(J203-L203)),"")))</f>
        <v/>
      </c>
      <c r="V203" s="133">
        <f>IF(U203="","",IF(U203="SL",K203,IF(U203="TP",N203,"")))</f>
        <v/>
      </c>
      <c r="X203" s="125">
        <f>IF(O203="","",IF(AND(O203="Buy",$E$24&lt;J203),"SL",IF(AND(O203="Buy",$D$24&gt;M203),"TP",IF(AND(O203="Sell",$D$24&gt;J203),"SL",IF(AND(O203="Sell",$E$24&lt;M203),"TP","")))))</f>
        <v/>
      </c>
    </row>
    <row r="204" spans="1:24">
      <c r="A204" s="125" t="n">
        <v>178</v>
      </c>
      <c r="B204" s="137" t="n"/>
      <c r="G204" s="122" t="n"/>
      <c r="H204" s="122" t="n"/>
      <c r="I204" s="122" t="n"/>
      <c r="K204" s="133" t="n"/>
      <c r="N204" s="133" t="n"/>
      <c r="S204" s="154">
        <f>IF(P204="","",IF(P204="L",ABS((M204-L204)/(L204-J204)),IF(P204="S",ABS((L204-M204)/(J204-L204)),"")))</f>
        <v/>
      </c>
      <c r="V204" s="133">
        <f>IF(U204="","",IF(U204="SL",K204,IF(U204="TP",N204,"")))</f>
        <v/>
      </c>
      <c r="X204" s="125">
        <f>IF(O204="","",IF(AND(O204="Buy",$E$24&lt;J204),"SL",IF(AND(O204="Buy",$D$24&gt;M204),"TP",IF(AND(O204="Sell",$D$24&gt;J204),"SL",IF(AND(O204="Sell",$E$24&lt;M204),"TP","")))))</f>
        <v/>
      </c>
    </row>
    <row r="205" spans="1:24">
      <c r="A205" s="125" t="n">
        <v>179</v>
      </c>
      <c r="B205" s="137" t="n"/>
      <c r="G205" s="122" t="n"/>
      <c r="H205" s="122" t="n"/>
      <c r="I205" s="122" t="n"/>
      <c r="K205" s="133" t="n"/>
      <c r="N205" s="133" t="n"/>
      <c r="S205" s="154">
        <f>IF(P205="","",IF(P205="L",ABS((M205-L205)/(L205-J205)),IF(P205="S",ABS((L205-M205)/(J205-L205)),"")))</f>
        <v/>
      </c>
      <c r="V205" s="133">
        <f>IF(U205="","",IF(U205="SL",K205,IF(U205="TP",N205,"")))</f>
        <v/>
      </c>
      <c r="X205" s="125">
        <f>IF(O205="","",IF(AND(O205="Buy",$E$24&lt;J205),"SL",IF(AND(O205="Buy",$D$24&gt;M205),"TP",IF(AND(O205="Sell",$D$24&gt;J205),"SL",IF(AND(O205="Sell",$E$24&lt;M205),"TP","")))))</f>
        <v/>
      </c>
    </row>
    <row r="206" spans="1:24">
      <c r="A206" s="125" t="n">
        <v>180</v>
      </c>
      <c r="B206" s="137" t="n"/>
      <c r="G206" s="122" t="n"/>
      <c r="H206" s="122" t="n"/>
      <c r="I206" s="122" t="n"/>
      <c r="K206" s="133" t="n"/>
      <c r="N206" s="133" t="n"/>
      <c r="S206" s="154">
        <f>IF(P206="","",IF(P206="L",ABS((M206-L206)/(L206-J206)),IF(P206="S",ABS((L206-M206)/(J206-L206)),"")))</f>
        <v/>
      </c>
      <c r="V206" s="133">
        <f>IF(U206="","",IF(U206="SL",K206,IF(U206="TP",N206,"")))</f>
        <v/>
      </c>
      <c r="X206" s="125">
        <f>IF(O206="","",IF(AND(O206="Buy",$E$24&lt;J206),"SL",IF(AND(O206="Buy",$D$24&gt;M206),"TP",IF(AND(O206="Sell",$D$24&gt;J206),"SL",IF(AND(O206="Sell",$E$24&lt;M206),"TP","")))))</f>
        <v/>
      </c>
    </row>
    <row r="207" spans="1:24">
      <c r="A207" s="125" t="n">
        <v>181</v>
      </c>
      <c r="B207" s="137" t="n"/>
      <c r="G207" s="122" t="n"/>
      <c r="H207" s="122" t="n"/>
      <c r="I207" s="122" t="n"/>
      <c r="K207" s="133" t="n"/>
      <c r="N207" s="133" t="n"/>
      <c r="S207" s="154">
        <f>IF(P207="","",IF(P207="L",ABS((M207-L207)/(L207-J207)),IF(P207="S",ABS((L207-M207)/(J207-L207)),"")))</f>
        <v/>
      </c>
      <c r="V207" s="133">
        <f>IF(U207="","",IF(U207="SL",K207,IF(U207="TP",N207,"")))</f>
        <v/>
      </c>
      <c r="X207" s="125">
        <f>IF(O207="","",IF(AND(O207="Buy",$E$24&lt;J207),"SL",IF(AND(O207="Buy",$D$24&gt;M207),"TP",IF(AND(O207="Sell",$D$24&gt;J207),"SL",IF(AND(O207="Sell",$E$24&lt;M207),"TP","")))))</f>
        <v/>
      </c>
    </row>
    <row r="208" spans="1:24">
      <c r="A208" s="125" t="n">
        <v>182</v>
      </c>
      <c r="B208" s="137" t="n"/>
      <c r="G208" s="122" t="n"/>
      <c r="H208" s="122" t="n"/>
      <c r="I208" s="122" t="n"/>
      <c r="K208" s="133" t="n"/>
      <c r="N208" s="133" t="n"/>
      <c r="S208" s="154">
        <f>IF(P208="","",IF(P208="L",ABS((M208-L208)/(L208-J208)),IF(P208="S",ABS((L208-M208)/(J208-L208)),"")))</f>
        <v/>
      </c>
      <c r="V208" s="133">
        <f>IF(U208="","",IF(U208="SL",K208,IF(U208="TP",N208,"")))</f>
        <v/>
      </c>
      <c r="X208" s="125">
        <f>IF(O208="","",IF(AND(O208="Buy",$E$24&lt;J208),"SL",IF(AND(O208="Buy",$D$24&gt;M208),"TP",IF(AND(O208="Sell",$D$24&gt;J208),"SL",IF(AND(O208="Sell",$E$24&lt;M208),"TP","")))))</f>
        <v/>
      </c>
    </row>
    <row r="209" spans="1:24">
      <c r="A209" s="125" t="n">
        <v>183</v>
      </c>
      <c r="B209" s="137" t="n"/>
      <c r="G209" s="122" t="n"/>
      <c r="H209" s="122" t="n"/>
      <c r="I209" s="122" t="n"/>
      <c r="K209" s="133" t="n"/>
      <c r="N209" s="133" t="n"/>
      <c r="S209" s="154">
        <f>IF(P209="","",IF(P209="L",ABS((M209-L209)/(L209-J209)),IF(P209="S",ABS((L209-M209)/(J209-L209)),"")))</f>
        <v/>
      </c>
      <c r="V209" s="133">
        <f>IF(U209="","",IF(U209="SL",K209,IF(U209="TP",N209,"")))</f>
        <v/>
      </c>
      <c r="X209" s="125">
        <f>IF(O209="","",IF(AND(O209="Buy",$E$24&lt;J209),"SL",IF(AND(O209="Buy",$D$24&gt;M209),"TP",IF(AND(O209="Sell",$D$24&gt;J209),"SL",IF(AND(O209="Sell",$E$24&lt;M209),"TP","")))))</f>
        <v/>
      </c>
    </row>
    <row r="210" spans="1:24">
      <c r="A210" s="125" t="n">
        <v>184</v>
      </c>
      <c r="B210" s="137" t="n"/>
      <c r="G210" s="122" t="n"/>
      <c r="H210" s="122" t="n"/>
      <c r="I210" s="122" t="n"/>
      <c r="K210" s="133" t="n"/>
      <c r="N210" s="133" t="n"/>
      <c r="S210" s="154">
        <f>IF(P210="","",IF(P210="L",ABS((M210-L210)/(L210-J210)),IF(P210="S",ABS((L210-M210)/(J210-L210)),"")))</f>
        <v/>
      </c>
      <c r="V210" s="133">
        <f>IF(U210="","",IF(U210="SL",K210,IF(U210="TP",N210,"")))</f>
        <v/>
      </c>
      <c r="X210" s="125">
        <f>IF(O210="","",IF(AND(O210="Buy",$E$24&lt;J210),"SL",IF(AND(O210="Buy",$D$24&gt;M210),"TP",IF(AND(O210="Sell",$D$24&gt;J210),"SL",IF(AND(O210="Sell",$E$24&lt;M210),"TP","")))))</f>
        <v/>
      </c>
    </row>
    <row r="211" spans="1:24">
      <c r="A211" s="125" t="n">
        <v>185</v>
      </c>
      <c r="B211" s="137" t="n"/>
      <c r="G211" s="122" t="n"/>
      <c r="H211" s="122" t="n"/>
      <c r="I211" s="122" t="n"/>
      <c r="K211" s="133" t="n"/>
      <c r="N211" s="133" t="n"/>
      <c r="S211" s="154">
        <f>IF(P211="","",IF(P211="L",ABS((M211-L211)/(L211-J211)),IF(P211="S",ABS((L211-M211)/(J211-L211)),"")))</f>
        <v/>
      </c>
      <c r="V211" s="133">
        <f>IF(U211="","",IF(U211="SL",K211,IF(U211="TP",N211,"")))</f>
        <v/>
      </c>
      <c r="X211" s="125">
        <f>IF(O211="","",IF(AND(O211="Buy",$E$24&lt;J211),"SL",IF(AND(O211="Buy",$D$24&gt;M211),"TP",IF(AND(O211="Sell",$D$24&gt;J211),"SL",IF(AND(O211="Sell",$E$24&lt;M211),"TP","")))))</f>
        <v/>
      </c>
    </row>
    <row r="212" spans="1:24">
      <c r="A212" s="125" t="n">
        <v>186</v>
      </c>
      <c r="B212" s="137" t="n"/>
      <c r="G212" s="122" t="n"/>
      <c r="H212" s="122" t="n"/>
      <c r="I212" s="122" t="n"/>
      <c r="K212" s="133" t="n"/>
      <c r="N212" s="133" t="n"/>
      <c r="S212" s="154">
        <f>IF(P212="","",IF(P212="L",ABS((M212-L212)/(L212-J212)),IF(P212="S",ABS((L212-M212)/(J212-L212)),"")))</f>
        <v/>
      </c>
      <c r="V212" s="133">
        <f>IF(U212="","",IF(U212="SL",K212,IF(U212="TP",N212,"")))</f>
        <v/>
      </c>
      <c r="X212" s="125">
        <f>IF(O212="","",IF(AND(O212="Buy",$E$24&lt;J212),"SL",IF(AND(O212="Buy",$D$24&gt;M212),"TP",IF(AND(O212="Sell",$D$24&gt;J212),"SL",IF(AND(O212="Sell",$E$24&lt;M212),"TP","")))))</f>
        <v/>
      </c>
    </row>
    <row r="213" spans="1:24">
      <c r="A213" s="125" t="n">
        <v>187</v>
      </c>
      <c r="B213" s="137" t="n"/>
      <c r="G213" s="122" t="n"/>
      <c r="H213" s="122" t="n"/>
      <c r="I213" s="122" t="n"/>
      <c r="K213" s="133" t="n"/>
      <c r="N213" s="133" t="n"/>
      <c r="S213" s="154">
        <f>IF(P213="","",IF(P213="L",ABS((M213-L213)/(L213-J213)),IF(P213="S",ABS((L213-M213)/(J213-L213)),"")))</f>
        <v/>
      </c>
      <c r="V213" s="133">
        <f>IF(U213="","",IF(U213="SL",K213,IF(U213="TP",N213,"")))</f>
        <v/>
      </c>
      <c r="X213" s="125">
        <f>IF(O213="","",IF(AND(O213="Buy",$E$24&lt;J213),"SL",IF(AND(O213="Buy",$D$24&gt;M213),"TP",IF(AND(O213="Sell",$D$24&gt;J213),"SL",IF(AND(O213="Sell",$E$24&lt;M213),"TP","")))))</f>
        <v/>
      </c>
    </row>
    <row r="214" spans="1:24">
      <c r="A214" s="125" t="n">
        <v>188</v>
      </c>
      <c r="B214" s="137" t="n"/>
      <c r="G214" s="122" t="n"/>
      <c r="H214" s="122" t="n"/>
      <c r="I214" s="122" t="n"/>
      <c r="K214" s="133" t="n"/>
      <c r="N214" s="133" t="n"/>
      <c r="S214" s="154">
        <f>IF(P214="","",IF(P214="L",ABS((M214-L214)/(L214-J214)),IF(P214="S",ABS((L214-M214)/(J214-L214)),"")))</f>
        <v/>
      </c>
      <c r="V214" s="133">
        <f>IF(U214="","",IF(U214="SL",K214,IF(U214="TP",N214,"")))</f>
        <v/>
      </c>
      <c r="X214" s="125">
        <f>IF(O214="","",IF(AND(O214="Buy",$E$24&lt;J214),"SL",IF(AND(O214="Buy",$D$24&gt;M214),"TP",IF(AND(O214="Sell",$D$24&gt;J214),"SL",IF(AND(O214="Sell",$E$24&lt;M214),"TP","")))))</f>
        <v/>
      </c>
    </row>
    <row r="215" spans="1:24">
      <c r="A215" s="125" t="n">
        <v>189</v>
      </c>
      <c r="B215" s="137" t="n"/>
      <c r="G215" s="122" t="n"/>
      <c r="H215" s="122" t="n"/>
      <c r="I215" s="122" t="n"/>
      <c r="K215" s="133" t="n"/>
      <c r="N215" s="133" t="n"/>
      <c r="S215" s="154">
        <f>IF(P215="","",IF(P215="L",ABS((M215-L215)/(L215-J215)),IF(P215="S",ABS((L215-M215)/(J215-L215)),"")))</f>
        <v/>
      </c>
      <c r="V215" s="133">
        <f>IF(U215="","",IF(U215="SL",K215,IF(U215="TP",N215,"")))</f>
        <v/>
      </c>
      <c r="X215" s="125">
        <f>IF(O215="","",IF(AND(O215="Buy",$E$24&lt;J215),"SL",IF(AND(O215="Buy",$D$24&gt;M215),"TP",IF(AND(O215="Sell",$D$24&gt;J215),"SL",IF(AND(O215="Sell",$E$24&lt;M215),"TP","")))))</f>
        <v/>
      </c>
    </row>
    <row r="216" spans="1:24">
      <c r="A216" s="125" t="n">
        <v>190</v>
      </c>
      <c r="B216" s="137" t="n"/>
      <c r="G216" s="122" t="n"/>
      <c r="H216" s="122" t="n"/>
      <c r="I216" s="122" t="n"/>
      <c r="K216" s="133" t="n"/>
      <c r="N216" s="133" t="n"/>
      <c r="S216" s="154">
        <f>IF(P216="","",IF(P216="L",ABS((M216-L216)/(L216-J216)),IF(P216="S",ABS((L216-M216)/(J216-L216)),"")))</f>
        <v/>
      </c>
      <c r="V216" s="133">
        <f>IF(U216="","",IF(U216="SL",K216,IF(U216="TP",N216,"")))</f>
        <v/>
      </c>
      <c r="X216" s="125">
        <f>IF(O216="","",IF(AND(O216="Buy",$E$24&lt;J216),"SL",IF(AND(O216="Buy",$D$24&gt;M216),"TP",IF(AND(O216="Sell",$D$24&gt;J216),"SL",IF(AND(O216="Sell",$E$24&lt;M216),"TP","")))))</f>
        <v/>
      </c>
    </row>
    <row r="217" spans="1:24">
      <c r="A217" s="125" t="n">
        <v>191</v>
      </c>
      <c r="B217" s="137" t="n"/>
      <c r="G217" s="122" t="n"/>
      <c r="H217" s="122" t="n"/>
      <c r="I217" s="122" t="n"/>
      <c r="K217" s="133" t="n"/>
      <c r="N217" s="133" t="n"/>
      <c r="S217" s="154">
        <f>IF(P217="","",IF(P217="L",ABS((M217-L217)/(L217-J217)),IF(P217="S",ABS((L217-M217)/(J217-L217)),"")))</f>
        <v/>
      </c>
      <c r="V217" s="133">
        <f>IF(U217="","",IF(U217="SL",K217,IF(U217="TP",N217,"")))</f>
        <v/>
      </c>
      <c r="X217" s="125">
        <f>IF(O217="","",IF(AND(O217="Buy",$E$24&lt;J217),"SL",IF(AND(O217="Buy",$D$24&gt;M217),"TP",IF(AND(O217="Sell",$D$24&gt;J217),"SL",IF(AND(O217="Sell",$E$24&lt;M217),"TP","")))))</f>
        <v/>
      </c>
    </row>
    <row r="218" spans="1:24">
      <c r="A218" s="125" t="n">
        <v>192</v>
      </c>
      <c r="B218" s="137" t="n"/>
      <c r="G218" s="122" t="n"/>
      <c r="H218" s="122" t="n"/>
      <c r="I218" s="122" t="n"/>
      <c r="K218" s="133" t="n"/>
      <c r="N218" s="133" t="n"/>
      <c r="S218" s="154">
        <f>IF(P218="","",IF(P218="L",ABS((M218-L218)/(L218-J218)),IF(P218="S",ABS((L218-M218)/(J218-L218)),"")))</f>
        <v/>
      </c>
      <c r="V218" s="133">
        <f>IF(U218="","",IF(U218="SL",K218,IF(U218="TP",N218,"")))</f>
        <v/>
      </c>
      <c r="X218" s="125">
        <f>IF(O218="","",IF(AND(O218="Buy",$E$24&lt;J218),"SL",IF(AND(O218="Buy",$D$24&gt;M218),"TP",IF(AND(O218="Sell",$D$24&gt;J218),"SL",IF(AND(O218="Sell",$E$24&lt;M218),"TP","")))))</f>
        <v/>
      </c>
    </row>
    <row r="219" spans="1:24">
      <c r="A219" s="125" t="n">
        <v>193</v>
      </c>
      <c r="B219" s="137" t="n"/>
      <c r="G219" s="122" t="n"/>
      <c r="H219" s="122" t="n"/>
      <c r="I219" s="122" t="n"/>
      <c r="K219" s="133" t="n"/>
      <c r="N219" s="133" t="n"/>
      <c r="S219" s="154">
        <f>IF(P219="","",IF(P219="L",ABS((M219-L219)/(L219-J219)),IF(P219="S",ABS((L219-M219)/(J219-L219)),"")))</f>
        <v/>
      </c>
      <c r="V219" s="133">
        <f>IF(U219="","",IF(U219="SL",K219,IF(U219="TP",N219,"")))</f>
        <v/>
      </c>
      <c r="X219" s="125">
        <f>IF(O219="","",IF(AND(O219="Buy",$E$24&lt;J219),"SL",IF(AND(O219="Buy",$D$24&gt;M219),"TP",IF(AND(O219="Sell",$D$24&gt;J219),"SL",IF(AND(O219="Sell",$E$24&lt;M219),"TP","")))))</f>
        <v/>
      </c>
    </row>
    <row r="220" spans="1:24">
      <c r="A220" s="125" t="n">
        <v>194</v>
      </c>
      <c r="B220" s="137" t="n"/>
      <c r="G220" s="122" t="n"/>
      <c r="H220" s="122" t="n"/>
      <c r="I220" s="122" t="n"/>
      <c r="K220" s="133" t="n"/>
      <c r="N220" s="133" t="n"/>
      <c r="S220" s="154">
        <f>IF(P220="","",IF(P220="L",ABS((M220-L220)/(L220-J220)),IF(P220="S",ABS((L220-M220)/(J220-L220)),"")))</f>
        <v/>
      </c>
      <c r="V220" s="133">
        <f>IF(U220="","",IF(U220="SL",K220,IF(U220="TP",N220,"")))</f>
        <v/>
      </c>
      <c r="X220" s="125">
        <f>IF(O220="","",IF(AND(O220="Buy",$E$24&lt;J220),"SL",IF(AND(O220="Buy",$D$24&gt;M220),"TP",IF(AND(O220="Sell",$D$24&gt;J220),"SL",IF(AND(O220="Sell",$E$24&lt;M220),"TP","")))))</f>
        <v/>
      </c>
    </row>
    <row r="221" spans="1:24">
      <c r="A221" s="125" t="n">
        <v>195</v>
      </c>
      <c r="B221" s="137" t="n"/>
      <c r="G221" s="122" t="n"/>
      <c r="H221" s="122" t="n"/>
      <c r="I221" s="122" t="n"/>
      <c r="K221" s="133" t="n"/>
      <c r="N221" s="133" t="n"/>
      <c r="S221" s="154">
        <f>IF(P221="","",IF(P221="L",ABS((M221-L221)/(L221-J221)),IF(P221="S",ABS((L221-M221)/(J221-L221)),"")))</f>
        <v/>
      </c>
      <c r="V221" s="133">
        <f>IF(U221="","",IF(U221="SL",K221,IF(U221="TP",N221,"")))</f>
        <v/>
      </c>
      <c r="X221" s="125">
        <f>IF(O221="","",IF(AND(O221="Buy",$E$24&lt;J221),"SL",IF(AND(O221="Buy",$D$24&gt;M221),"TP",IF(AND(O221="Sell",$D$24&gt;J221),"SL",IF(AND(O221="Sell",$E$24&lt;M221),"TP","")))))</f>
        <v/>
      </c>
    </row>
    <row r="222" spans="1:24">
      <c r="A222" s="125" t="n">
        <v>196</v>
      </c>
      <c r="B222" s="137" t="n"/>
      <c r="G222" s="122" t="n"/>
      <c r="H222" s="122" t="n"/>
      <c r="I222" s="122" t="n"/>
      <c r="K222" s="133" t="n"/>
      <c r="N222" s="133" t="n"/>
      <c r="S222" s="154">
        <f>IF(P222="","",IF(P222="L",ABS((M222-L222)/(L222-J222)),IF(P222="S",ABS((L222-M222)/(J222-L222)),"")))</f>
        <v/>
      </c>
      <c r="V222" s="133">
        <f>IF(U222="","",IF(U222="SL",K222,IF(U222="TP",N222,"")))</f>
        <v/>
      </c>
      <c r="X222" s="125">
        <f>IF(O222="","",IF(AND(O222="Buy",$E$24&lt;J222),"SL",IF(AND(O222="Buy",$D$24&gt;M222),"TP",IF(AND(O222="Sell",$D$24&gt;J222),"SL",IF(AND(O222="Sell",$E$24&lt;M222),"TP","")))))</f>
        <v/>
      </c>
    </row>
    <row r="223" spans="1:24">
      <c r="A223" s="125" t="n">
        <v>197</v>
      </c>
      <c r="B223" s="137" t="n"/>
      <c r="G223" s="122" t="n"/>
      <c r="H223" s="122" t="n"/>
      <c r="I223" s="122" t="n"/>
      <c r="K223" s="133" t="n"/>
      <c r="N223" s="133" t="n"/>
      <c r="S223" s="154">
        <f>IF(P223="","",IF(P223="L",ABS((M223-L223)/(L223-J223)),IF(P223="S",ABS((L223-M223)/(J223-L223)),"")))</f>
        <v/>
      </c>
      <c r="V223" s="133">
        <f>IF(U223="","",IF(U223="SL",K223,IF(U223="TP",N223,"")))</f>
        <v/>
      </c>
      <c r="X223" s="125">
        <f>IF(O223="","",IF(AND(O223="Buy",$E$24&lt;J223),"SL",IF(AND(O223="Buy",$D$24&gt;M223),"TP",IF(AND(O223="Sell",$D$24&gt;J223),"SL",IF(AND(O223="Sell",$E$24&lt;M223),"TP","")))))</f>
        <v/>
      </c>
    </row>
    <row r="224" spans="1:24">
      <c r="A224" s="125" t="n">
        <v>198</v>
      </c>
      <c r="B224" s="137" t="n"/>
      <c r="G224" s="122" t="n"/>
      <c r="H224" s="122" t="n"/>
      <c r="I224" s="122" t="n"/>
      <c r="K224" s="133" t="n"/>
      <c r="N224" s="133" t="n"/>
      <c r="S224" s="154">
        <f>IF(P224="","",IF(P224="L",ABS((M224-L224)/(L224-J224)),IF(P224="S",ABS((L224-M224)/(J224-L224)),"")))</f>
        <v/>
      </c>
      <c r="V224" s="133">
        <f>IF(U224="","",IF(U224="SL",K224,IF(U224="TP",N224,"")))</f>
        <v/>
      </c>
      <c r="X224" s="125">
        <f>IF(O224="","",IF(AND(O224="Buy",$E$24&lt;J224),"SL",IF(AND(O224="Buy",$D$24&gt;M224),"TP",IF(AND(O224="Sell",$D$24&gt;J224),"SL",IF(AND(O224="Sell",$E$24&lt;M224),"TP","")))))</f>
        <v/>
      </c>
    </row>
    <row r="225" spans="1:24">
      <c r="A225" s="125" t="n">
        <v>199</v>
      </c>
      <c r="B225" s="137" t="n"/>
      <c r="G225" s="122" t="n"/>
      <c r="H225" s="122" t="n"/>
      <c r="I225" s="122" t="n"/>
      <c r="K225" s="133" t="n"/>
      <c r="N225" s="133" t="n"/>
      <c r="S225" s="154">
        <f>IF(P225="","",IF(P225="L",ABS((M225-L225)/(L225-J225)),IF(P225="S",ABS((L225-M225)/(J225-L225)),"")))</f>
        <v/>
      </c>
      <c r="V225" s="133">
        <f>IF(U225="","",IF(U225="SL",K225,IF(U225="TP",N225,"")))</f>
        <v/>
      </c>
      <c r="X225" s="125">
        <f>IF(O225="","",IF(AND(O225="Buy",$E$24&lt;J225),"SL",IF(AND(O225="Buy",$D$24&gt;M225),"TP",IF(AND(O225="Sell",$D$24&gt;J225),"SL",IF(AND(O225="Sell",$E$24&lt;M225),"TP","")))))</f>
        <v/>
      </c>
    </row>
    <row r="226" spans="1:24">
      <c r="A226" s="125" t="n">
        <v>200</v>
      </c>
      <c r="B226" s="137" t="n"/>
      <c r="G226" s="122" t="n"/>
      <c r="H226" s="122" t="n"/>
      <c r="I226" s="122" t="n"/>
      <c r="K226" s="133" t="n"/>
      <c r="N226" s="133" t="n"/>
      <c r="S226" s="154">
        <f>IF(P226="","",IF(P226="L",ABS((M226-L226)/(L226-J226)),IF(P226="S",ABS((L226-M226)/(J226-L226)),"")))</f>
        <v/>
      </c>
      <c r="V226" s="133">
        <f>IF(U226="","",IF(U226="SL",K226,IF(U226="TP",N226,"")))</f>
        <v/>
      </c>
      <c r="X226" s="125">
        <f>IF(O226="","",IF(AND(O226="Buy",$E$24&lt;J226),"SL",IF(AND(O226="Buy",$D$24&gt;M226),"TP",IF(AND(O226="Sell",$D$24&gt;J226),"SL",IF(AND(O226="Sell",$E$24&lt;M226),"TP","")))))</f>
        <v/>
      </c>
    </row>
    <row r="227" spans="1:24">
      <c r="A227" s="125" t="n">
        <v>201</v>
      </c>
      <c r="B227" s="137" t="n"/>
      <c r="G227" s="122" t="n"/>
      <c r="H227" s="122" t="n"/>
      <c r="I227" s="122" t="n"/>
      <c r="K227" s="133" t="n"/>
      <c r="N227" s="133" t="n"/>
      <c r="S227" s="154">
        <f>IF(P227="","",IF(P227="L",ABS((M227-L227)/(L227-J227)),IF(P227="S",ABS((L227-M227)/(J227-L227)),"")))</f>
        <v/>
      </c>
      <c r="V227" s="133">
        <f>IF(U227="","",IF(U227="SL",K227,IF(U227="TP",N227,"")))</f>
        <v/>
      </c>
      <c r="X227" s="125">
        <f>IF(O227="","",IF(AND(O227="Buy",$E$24&lt;J227),"SL",IF(AND(O227="Buy",$D$24&gt;M227),"TP",IF(AND(O227="Sell",$D$24&gt;J227),"SL",IF(AND(O227="Sell",$E$24&lt;M227),"TP","")))))</f>
        <v/>
      </c>
    </row>
    <row r="228" spans="1:24">
      <c r="A228" s="125" t="n">
        <v>202</v>
      </c>
      <c r="B228" s="137" t="n"/>
      <c r="G228" s="122" t="n"/>
      <c r="H228" s="122" t="n"/>
      <c r="I228" s="122" t="n"/>
      <c r="K228" s="133" t="n"/>
      <c r="N228" s="133" t="n"/>
      <c r="S228" s="154">
        <f>IF(P228="","",IF(P228="L",ABS((M228-L228)/(L228-J228)),IF(P228="S",ABS((L228-M228)/(J228-L228)),"")))</f>
        <v/>
      </c>
      <c r="V228" s="133">
        <f>IF(U228="","",IF(U228="SL",K228,IF(U228="TP",N228,"")))</f>
        <v/>
      </c>
      <c r="X228" s="125">
        <f>IF(O228="","",IF(AND(O228="Buy",$E$24&lt;J228),"SL",IF(AND(O228="Buy",$D$24&gt;M228),"TP",IF(AND(O228="Sell",$D$24&gt;J228),"SL",IF(AND(O228="Sell",$E$24&lt;M228),"TP","")))))</f>
        <v/>
      </c>
    </row>
    <row r="229" spans="1:24">
      <c r="A229" s="125" t="n">
        <v>203</v>
      </c>
      <c r="B229" s="137" t="n"/>
      <c r="G229" s="122" t="n"/>
      <c r="H229" s="122" t="n"/>
      <c r="I229" s="122" t="n"/>
      <c r="K229" s="133" t="n"/>
      <c r="N229" s="133" t="n"/>
      <c r="S229" s="154">
        <f>IF(P229="","",IF(P229="L",ABS((M229-L229)/(L229-J229)),IF(P229="S",ABS((L229-M229)/(J229-L229)),"")))</f>
        <v/>
      </c>
      <c r="V229" s="133">
        <f>IF(U229="","",IF(U229="SL",K229,IF(U229="TP",N229,"")))</f>
        <v/>
      </c>
      <c r="X229" s="125">
        <f>IF(O229="","",IF(AND(O229="Buy",$E$24&lt;J229),"SL",IF(AND(O229="Buy",$D$24&gt;M229),"TP",IF(AND(O229="Sell",$D$24&gt;J229),"SL",IF(AND(O229="Sell",$E$24&lt;M229),"TP","")))))</f>
        <v/>
      </c>
    </row>
    <row r="230" spans="1:24">
      <c r="A230" s="125" t="n">
        <v>204</v>
      </c>
      <c r="B230" s="137" t="n"/>
      <c r="G230" s="122" t="n"/>
      <c r="H230" s="122" t="n"/>
      <c r="I230" s="122" t="n"/>
      <c r="K230" s="133" t="n"/>
      <c r="N230" s="133" t="n"/>
      <c r="S230" s="154">
        <f>IF(P230="","",IF(P230="L",ABS((M230-L230)/(L230-J230)),IF(P230="S",ABS((L230-M230)/(J230-L230)),"")))</f>
        <v/>
      </c>
      <c r="V230" s="133">
        <f>IF(U230="","",IF(U230="SL",K230,IF(U230="TP",N230,"")))</f>
        <v/>
      </c>
      <c r="X230" s="125">
        <f>IF(O230="","",IF(AND(O230="Buy",$E$24&lt;J230),"SL",IF(AND(O230="Buy",$D$24&gt;M230),"TP",IF(AND(O230="Sell",$D$24&gt;J230),"SL",IF(AND(O230="Sell",$E$24&lt;M230),"TP","")))))</f>
        <v/>
      </c>
    </row>
    <row r="231" spans="1:24">
      <c r="A231" s="125" t="n">
        <v>205</v>
      </c>
      <c r="B231" s="137" t="n"/>
      <c r="G231" s="122" t="n"/>
      <c r="H231" s="122" t="n"/>
      <c r="I231" s="122" t="n"/>
      <c r="K231" s="133" t="n"/>
      <c r="N231" s="133" t="n"/>
      <c r="S231" s="154">
        <f>IF(P231="","",IF(P231="L",ABS((M231-L231)/(L231-J231)),IF(P231="S",ABS((L231-M231)/(J231-L231)),"")))</f>
        <v/>
      </c>
      <c r="V231" s="133">
        <f>IF(U231="","",IF(U231="SL",K231,IF(U231="TP",N231,"")))</f>
        <v/>
      </c>
      <c r="X231" s="125">
        <f>IF(O231="","",IF(AND(O231="Buy",$E$24&lt;J231),"SL",IF(AND(O231="Buy",$D$24&gt;M231),"TP",IF(AND(O231="Sell",$D$24&gt;J231),"SL",IF(AND(O231="Sell",$E$24&lt;M231),"TP","")))))</f>
        <v/>
      </c>
    </row>
    <row r="232" spans="1:24">
      <c r="A232" s="125" t="n">
        <v>206</v>
      </c>
      <c r="B232" s="137" t="n"/>
      <c r="G232" s="122" t="n"/>
      <c r="H232" s="122" t="n"/>
      <c r="I232" s="122" t="n"/>
      <c r="K232" s="133" t="n"/>
      <c r="N232" s="133" t="n"/>
      <c r="S232" s="154">
        <f>IF(P232="","",IF(P232="L",ABS((M232-L232)/(L232-J232)),IF(P232="S",ABS((L232-M232)/(J232-L232)),"")))</f>
        <v/>
      </c>
      <c r="V232" s="133">
        <f>IF(U232="","",IF(U232="SL",K232,IF(U232="TP",N232,"")))</f>
        <v/>
      </c>
      <c r="X232" s="125">
        <f>IF(O232="","",IF(AND(O232="Buy",$E$24&lt;J232),"SL",IF(AND(O232="Buy",$D$24&gt;M232),"TP",IF(AND(O232="Sell",$D$24&gt;J232),"SL",IF(AND(O232="Sell",$E$24&lt;M232),"TP","")))))</f>
        <v/>
      </c>
    </row>
    <row r="233" spans="1:24">
      <c r="A233" s="125" t="n">
        <v>207</v>
      </c>
      <c r="B233" s="137" t="n"/>
      <c r="G233" s="122" t="n"/>
      <c r="H233" s="122" t="n"/>
      <c r="I233" s="122" t="n"/>
      <c r="K233" s="133" t="n"/>
      <c r="N233" s="133" t="n"/>
      <c r="S233" s="154">
        <f>IF(P233="","",IF(P233="L",ABS((M233-L233)/(L233-J233)),IF(P233="S",ABS((L233-M233)/(J233-L233)),"")))</f>
        <v/>
      </c>
      <c r="V233" s="133">
        <f>IF(U233="","",IF(U233="SL",K233,IF(U233="TP",N233,"")))</f>
        <v/>
      </c>
      <c r="X233" s="125">
        <f>IF(O233="","",IF(AND(O233="Buy",$E$24&lt;J233),"SL",IF(AND(O233="Buy",$D$24&gt;M233),"TP",IF(AND(O233="Sell",$D$24&gt;J233),"SL",IF(AND(O233="Sell",$E$24&lt;M233),"TP","")))))</f>
        <v/>
      </c>
    </row>
    <row r="234" spans="1:24">
      <c r="A234" s="125" t="n">
        <v>208</v>
      </c>
      <c r="B234" s="137" t="n"/>
      <c r="G234" s="122" t="n"/>
      <c r="H234" s="122" t="n"/>
      <c r="I234" s="122" t="n"/>
      <c r="K234" s="133" t="n"/>
      <c r="N234" s="133" t="n"/>
      <c r="S234" s="154">
        <f>IF(P234="","",IF(P234="L",ABS((M234-L234)/(L234-J234)),IF(P234="S",ABS((L234-M234)/(J234-L234)),"")))</f>
        <v/>
      </c>
      <c r="V234" s="133">
        <f>IF(U234="","",IF(U234="SL",K234,IF(U234="TP",N234,"")))</f>
        <v/>
      </c>
      <c r="X234" s="125">
        <f>IF(O234="","",IF(AND(O234="Buy",$E$24&lt;J234),"SL",IF(AND(O234="Buy",$D$24&gt;M234),"TP",IF(AND(O234="Sell",$D$24&gt;J234),"SL",IF(AND(O234="Sell",$E$24&lt;M234),"TP","")))))</f>
        <v/>
      </c>
    </row>
    <row r="235" spans="1:24">
      <c r="A235" s="125" t="n">
        <v>209</v>
      </c>
      <c r="B235" s="137" t="n"/>
      <c r="G235" s="122" t="n"/>
      <c r="H235" s="122" t="n"/>
      <c r="I235" s="122" t="n"/>
      <c r="K235" s="133" t="n"/>
      <c r="N235" s="133" t="n"/>
      <c r="S235" s="154">
        <f>IF(P235="","",IF(P235="L",ABS((M235-L235)/(L235-J235)),IF(P235="S",ABS((L235-M235)/(J235-L235)),"")))</f>
        <v/>
      </c>
      <c r="V235" s="133">
        <f>IF(U235="","",IF(U235="SL",K235,IF(U235="TP",N235,"")))</f>
        <v/>
      </c>
      <c r="X235" s="125">
        <f>IF(O235="","",IF(AND(O235="Buy",$E$24&lt;J235),"SL",IF(AND(O235="Buy",$D$24&gt;M235),"TP",IF(AND(O235="Sell",$D$24&gt;J235),"SL",IF(AND(O235="Sell",$E$24&lt;M235),"TP","")))))</f>
        <v/>
      </c>
    </row>
    <row r="236" spans="1:24">
      <c r="A236" s="125" t="n">
        <v>210</v>
      </c>
      <c r="B236" s="137" t="n"/>
      <c r="G236" s="122" t="n"/>
      <c r="H236" s="122" t="n"/>
      <c r="I236" s="122" t="n"/>
      <c r="K236" s="133" t="n"/>
      <c r="N236" s="133" t="n"/>
      <c r="S236" s="154">
        <f>IF(P236="","",IF(P236="L",ABS((M236-L236)/(L236-J236)),IF(P236="S",ABS((L236-M236)/(J236-L236)),"")))</f>
        <v/>
      </c>
      <c r="V236" s="133">
        <f>IF(U236="","",IF(U236="SL",K236,IF(U236="TP",N236,"")))</f>
        <v/>
      </c>
      <c r="X236" s="125">
        <f>IF(O236="","",IF(AND(O236="Buy",$E$24&lt;J236),"SL",IF(AND(O236="Buy",$D$24&gt;M236),"TP",IF(AND(O236="Sell",$D$24&gt;J236),"SL",IF(AND(O236="Sell",$E$24&lt;M236),"TP","")))))</f>
        <v/>
      </c>
    </row>
    <row r="237" spans="1:24">
      <c r="A237" s="125" t="n">
        <v>211</v>
      </c>
      <c r="B237" s="137" t="n"/>
      <c r="G237" s="122" t="n"/>
      <c r="H237" s="122" t="n"/>
      <c r="I237" s="122" t="n"/>
      <c r="K237" s="133" t="n"/>
      <c r="N237" s="133" t="n"/>
      <c r="S237" s="154">
        <f>IF(P237="","",IF(P237="L",ABS((M237-L237)/(L237-J237)),IF(P237="S",ABS((L237-M237)/(J237-L237)),"")))</f>
        <v/>
      </c>
      <c r="V237" s="133">
        <f>IF(U237="","",IF(U237="SL",K237,IF(U237="TP",N237,"")))</f>
        <v/>
      </c>
      <c r="X237" s="125">
        <f>IF(O237="","",IF(AND(O237="Buy",$E$24&lt;J237),"SL",IF(AND(O237="Buy",$D$24&gt;M237),"TP",IF(AND(O237="Sell",$D$24&gt;J237),"SL",IF(AND(O237="Sell",$E$24&lt;M237),"TP","")))))</f>
        <v/>
      </c>
    </row>
    <row r="238" spans="1:24">
      <c r="A238" s="125" t="n">
        <v>212</v>
      </c>
      <c r="B238" s="137" t="n"/>
      <c r="G238" s="122" t="n"/>
      <c r="H238" s="122" t="n"/>
      <c r="I238" s="122" t="n"/>
      <c r="K238" s="133" t="n"/>
      <c r="N238" s="133" t="n"/>
      <c r="S238" s="154">
        <f>IF(P238="","",IF(P238="L",ABS((M238-L238)/(L238-J238)),IF(P238="S",ABS((L238-M238)/(J238-L238)),"")))</f>
        <v/>
      </c>
      <c r="V238" s="133">
        <f>IF(U238="","",IF(U238="SL",K238,IF(U238="TP",N238,"")))</f>
        <v/>
      </c>
      <c r="X238" s="125">
        <f>IF(O238="","",IF(AND(O238="Buy",$E$24&lt;J238),"SL",IF(AND(O238="Buy",$D$24&gt;M238),"TP",IF(AND(O238="Sell",$D$24&gt;J238),"SL",IF(AND(O238="Sell",$E$24&lt;M238),"TP","")))))</f>
        <v/>
      </c>
    </row>
    <row r="239" spans="1:24">
      <c r="A239" s="125" t="n">
        <v>213</v>
      </c>
      <c r="B239" s="137" t="n"/>
      <c r="G239" s="122" t="n"/>
      <c r="H239" s="122" t="n"/>
      <c r="I239" s="122" t="n"/>
      <c r="K239" s="133" t="n"/>
      <c r="N239" s="133" t="n"/>
      <c r="S239" s="154">
        <f>IF(P239="","",IF(P239="L",ABS((M239-L239)/(L239-J239)),IF(P239="S",ABS((L239-M239)/(J239-L239)),"")))</f>
        <v/>
      </c>
      <c r="V239" s="133">
        <f>IF(U239="","",IF(U239="SL",K239,IF(U239="TP",N239,"")))</f>
        <v/>
      </c>
      <c r="X239" s="125">
        <f>IF(O239="","",IF(AND(O239="Buy",$E$24&lt;J239),"SL",IF(AND(O239="Buy",$D$24&gt;M239),"TP",IF(AND(O239="Sell",$D$24&gt;J239),"SL",IF(AND(O239="Sell",$E$24&lt;M239),"TP","")))))</f>
        <v/>
      </c>
    </row>
    <row r="240" spans="1:24">
      <c r="A240" s="125" t="n">
        <v>214</v>
      </c>
      <c r="B240" s="137" t="n"/>
      <c r="G240" s="122" t="n"/>
      <c r="H240" s="122" t="n"/>
      <c r="I240" s="122" t="n"/>
      <c r="K240" s="133" t="n"/>
      <c r="N240" s="133" t="n"/>
      <c r="S240" s="154">
        <f>IF(P240="","",IF(P240="L",ABS((M240-L240)/(L240-J240)),IF(P240="S",ABS((L240-M240)/(J240-L240)),"")))</f>
        <v/>
      </c>
      <c r="V240" s="133">
        <f>IF(U240="","",IF(U240="SL",K240,IF(U240="TP",N240,"")))</f>
        <v/>
      </c>
      <c r="X240" s="125">
        <f>IF(O240="","",IF(AND(O240="Buy",$E$24&lt;J240),"SL",IF(AND(O240="Buy",$D$24&gt;M240),"TP",IF(AND(O240="Sell",$D$24&gt;J240),"SL",IF(AND(O240="Sell",$E$24&lt;M240),"TP","")))))</f>
        <v/>
      </c>
    </row>
    <row r="241" spans="1:24">
      <c r="A241" s="125" t="n">
        <v>215</v>
      </c>
      <c r="B241" s="137" t="n"/>
      <c r="G241" s="122" t="n"/>
      <c r="H241" s="122" t="n"/>
      <c r="I241" s="122" t="n"/>
      <c r="K241" s="133" t="n"/>
      <c r="N241" s="133" t="n"/>
      <c r="S241" s="154">
        <f>IF(P241="","",IF(P241="L",ABS((M241-L241)/(L241-J241)),IF(P241="S",ABS((L241-M241)/(J241-L241)),"")))</f>
        <v/>
      </c>
      <c r="V241" s="133">
        <f>IF(U241="","",IF(U241="SL",K241,IF(U241="TP",N241,"")))</f>
        <v/>
      </c>
      <c r="X241" s="125">
        <f>IF(O241="","",IF(AND(O241="Buy",$E$24&lt;J241),"SL",IF(AND(O241="Buy",$D$24&gt;M241),"TP",IF(AND(O241="Sell",$D$24&gt;J241),"SL",IF(AND(O241="Sell",$E$24&lt;M241),"TP","")))))</f>
        <v/>
      </c>
    </row>
    <row r="242" spans="1:24">
      <c r="A242" s="125" t="n">
        <v>216</v>
      </c>
      <c r="B242" s="137" t="n"/>
      <c r="G242" s="122" t="n"/>
      <c r="H242" s="122" t="n"/>
      <c r="I242" s="122" t="n"/>
      <c r="K242" s="133" t="n"/>
      <c r="N242" s="133" t="n"/>
      <c r="S242" s="154">
        <f>IF(P242="","",IF(P242="L",ABS((M242-L242)/(L242-J242)),IF(P242="S",ABS((L242-M242)/(J242-L242)),"")))</f>
        <v/>
      </c>
      <c r="V242" s="133">
        <f>IF(U242="","",IF(U242="SL",K242,IF(U242="TP",N242,"")))</f>
        <v/>
      </c>
      <c r="X242" s="125">
        <f>IF(O242="","",IF(AND(O242="Buy",$E$24&lt;J242),"SL",IF(AND(O242="Buy",$D$24&gt;M242),"TP",IF(AND(O242="Sell",$D$24&gt;J242),"SL",IF(AND(O242="Sell",$E$24&lt;M242),"TP","")))))</f>
        <v/>
      </c>
    </row>
    <row r="243" spans="1:24">
      <c r="A243" s="125" t="n">
        <v>217</v>
      </c>
      <c r="B243" s="137" t="n"/>
      <c r="G243" s="122" t="n"/>
      <c r="H243" s="122" t="n"/>
      <c r="I243" s="122" t="n"/>
      <c r="K243" s="133" t="n"/>
      <c r="N243" s="133" t="n"/>
      <c r="S243" s="154">
        <f>IF(P243="","",IF(P243="L",ABS((M243-L243)/(L243-J243)),IF(P243="S",ABS((L243-M243)/(J243-L243)),"")))</f>
        <v/>
      </c>
      <c r="V243" s="133">
        <f>IF(U243="","",IF(U243="SL",K243,IF(U243="TP",N243,"")))</f>
        <v/>
      </c>
      <c r="X243" s="125">
        <f>IF(O243="","",IF(AND(O243="Buy",$E$24&lt;J243),"SL",IF(AND(O243="Buy",$D$24&gt;M243),"TP",IF(AND(O243="Sell",$D$24&gt;J243),"SL",IF(AND(O243="Sell",$E$24&lt;M243),"TP","")))))</f>
        <v/>
      </c>
    </row>
    <row r="244" spans="1:24">
      <c r="A244" s="125" t="n">
        <v>218</v>
      </c>
      <c r="B244" s="137" t="n"/>
      <c r="G244" s="122" t="n"/>
      <c r="H244" s="122" t="n"/>
      <c r="I244" s="122" t="n"/>
      <c r="K244" s="133" t="n"/>
      <c r="N244" s="133" t="n"/>
      <c r="S244" s="154">
        <f>IF(P244="","",IF(P244="L",ABS((M244-L244)/(L244-J244)),IF(P244="S",ABS((L244-M244)/(J244-L244)),"")))</f>
        <v/>
      </c>
      <c r="V244" s="133">
        <f>IF(U244="","",IF(U244="SL",K244,IF(U244="TP",N244,"")))</f>
        <v/>
      </c>
      <c r="X244" s="125">
        <f>IF(O244="","",IF(AND(O244="Buy",$E$24&lt;J244),"SL",IF(AND(O244="Buy",$D$24&gt;M244),"TP",IF(AND(O244="Sell",$D$24&gt;J244),"SL",IF(AND(O244="Sell",$E$24&lt;M244),"TP","")))))</f>
        <v/>
      </c>
    </row>
    <row r="245" spans="1:24">
      <c r="A245" s="125" t="n">
        <v>219</v>
      </c>
      <c r="B245" s="137" t="n"/>
      <c r="G245" s="122" t="n"/>
      <c r="H245" s="122" t="n"/>
      <c r="I245" s="122" t="n"/>
      <c r="K245" s="133" t="n"/>
      <c r="N245" s="133" t="n"/>
      <c r="S245" s="154">
        <f>IF(P245="","",IF(P245="L",ABS((M245-L245)/(L245-J245)),IF(P245="S",ABS((L245-M245)/(J245-L245)),"")))</f>
        <v/>
      </c>
      <c r="V245" s="133">
        <f>IF(U245="","",IF(U245="SL",K245,IF(U245="TP",N245,"")))</f>
        <v/>
      </c>
      <c r="X245" s="125">
        <f>IF(O245="","",IF(AND(O245="Buy",$E$24&lt;J245),"SL",IF(AND(O245="Buy",$D$24&gt;M245),"TP",IF(AND(O245="Sell",$D$24&gt;J245),"SL",IF(AND(O245="Sell",$E$24&lt;M245),"TP","")))))</f>
        <v/>
      </c>
    </row>
    <row r="246" spans="1:24">
      <c r="A246" s="125" t="n">
        <v>220</v>
      </c>
      <c r="B246" s="137" t="n"/>
      <c r="G246" s="122" t="n"/>
      <c r="H246" s="122" t="n"/>
      <c r="I246" s="122" t="n"/>
      <c r="K246" s="133" t="n"/>
      <c r="N246" s="133" t="n"/>
      <c r="S246" s="154">
        <f>IF(P246="","",IF(P246="L",ABS((M246-L246)/(L246-J246)),IF(P246="S",ABS((L246-M246)/(J246-L246)),"")))</f>
        <v/>
      </c>
      <c r="V246" s="133">
        <f>IF(U246="","",IF(U246="SL",K246,IF(U246="TP",N246,"")))</f>
        <v/>
      </c>
      <c r="X246" s="125">
        <f>IF(O246="","",IF(AND(O246="Buy",$E$24&lt;J246),"SL",IF(AND(O246="Buy",$D$24&gt;M246),"TP",IF(AND(O246="Sell",$D$24&gt;J246),"SL",IF(AND(O246="Sell",$E$24&lt;M246),"TP","")))))</f>
        <v/>
      </c>
    </row>
    <row r="247" spans="1:24">
      <c r="A247" s="125" t="n">
        <v>221</v>
      </c>
      <c r="B247" s="137" t="n"/>
      <c r="G247" s="122" t="n"/>
      <c r="H247" s="122" t="n"/>
      <c r="I247" s="122" t="n"/>
      <c r="K247" s="133" t="n"/>
      <c r="N247" s="133" t="n"/>
      <c r="S247" s="154">
        <f>IF(P247="","",IF(P247="L",ABS((M247-L247)/(L247-J247)),IF(P247="S",ABS((L247-M247)/(J247-L247)),"")))</f>
        <v/>
      </c>
      <c r="V247" s="133">
        <f>IF(U247="","",IF(U247="SL",K247,IF(U247="TP",N247,"")))</f>
        <v/>
      </c>
      <c r="X247" s="125">
        <f>IF(O247="","",IF(AND(O247="Buy",$E$24&lt;J247),"SL",IF(AND(O247="Buy",$D$24&gt;M247),"TP",IF(AND(O247="Sell",$D$24&gt;J247),"SL",IF(AND(O247="Sell",$E$24&lt;M247),"TP","")))))</f>
        <v/>
      </c>
    </row>
    <row r="248" spans="1:24">
      <c r="A248" s="125" t="n">
        <v>222</v>
      </c>
      <c r="B248" s="137" t="n"/>
      <c r="G248" s="122" t="n"/>
      <c r="H248" s="122" t="n"/>
      <c r="I248" s="122" t="n"/>
      <c r="K248" s="133" t="n"/>
      <c r="N248" s="133" t="n"/>
      <c r="S248" s="154">
        <f>IF(P248="","",IF(P248="L",ABS((M248-L248)/(L248-J248)),IF(P248="S",ABS((L248-M248)/(J248-L248)),"")))</f>
        <v/>
      </c>
      <c r="V248" s="133">
        <f>IF(U248="","",IF(U248="SL",K248,IF(U248="TP",N248,"")))</f>
        <v/>
      </c>
      <c r="X248" s="125">
        <f>IF(O248="","",IF(AND(O248="Buy",$E$24&lt;J248),"SL",IF(AND(O248="Buy",$D$24&gt;M248),"TP",IF(AND(O248="Sell",$D$24&gt;J248),"SL",IF(AND(O248="Sell",$E$24&lt;M248),"TP","")))))</f>
        <v/>
      </c>
    </row>
    <row r="249" spans="1:24">
      <c r="A249" s="125" t="n">
        <v>223</v>
      </c>
      <c r="B249" s="137" t="n"/>
      <c r="G249" s="122" t="n"/>
      <c r="H249" s="122" t="n"/>
      <c r="I249" s="122" t="n"/>
      <c r="K249" s="133" t="n"/>
      <c r="N249" s="133" t="n"/>
      <c r="S249" s="154">
        <f>IF(P249="","",IF(P249="L",ABS((M249-L249)/(L249-J249)),IF(P249="S",ABS((L249-M249)/(J249-L249)),"")))</f>
        <v/>
      </c>
      <c r="V249" s="133">
        <f>IF(U249="","",IF(U249="SL",K249,IF(U249="TP",N249,"")))</f>
        <v/>
      </c>
      <c r="X249" s="125">
        <f>IF(O249="","",IF(AND(O249="Buy",$E$24&lt;J249),"SL",IF(AND(O249="Buy",$D$24&gt;M249),"TP",IF(AND(O249="Sell",$D$24&gt;J249),"SL",IF(AND(O249="Sell",$E$24&lt;M249),"TP","")))))</f>
        <v/>
      </c>
    </row>
    <row r="250" spans="1:24">
      <c r="A250" s="125" t="n">
        <v>224</v>
      </c>
      <c r="B250" s="137" t="n"/>
      <c r="G250" s="122" t="n"/>
      <c r="H250" s="122" t="n"/>
      <c r="I250" s="122" t="n"/>
      <c r="K250" s="133" t="n"/>
      <c r="N250" s="133" t="n"/>
      <c r="S250" s="154">
        <f>IF(P250="","",IF(P250="L",ABS((M250-L250)/(L250-J250)),IF(P250="S",ABS((L250-M250)/(J250-L250)),"")))</f>
        <v/>
      </c>
      <c r="V250" s="133">
        <f>IF(U250="","",IF(U250="SL",K250,IF(U250="TP",N250,"")))</f>
        <v/>
      </c>
      <c r="X250" s="125">
        <f>IF(O250="","",IF(AND(O250="Buy",$E$24&lt;J250),"SL",IF(AND(O250="Buy",$D$24&gt;M250),"TP",IF(AND(O250="Sell",$D$24&gt;J250),"SL",IF(AND(O250="Sell",$E$24&lt;M250),"TP","")))))</f>
        <v/>
      </c>
    </row>
    <row r="251" spans="1:24">
      <c r="A251" s="125" t="n">
        <v>225</v>
      </c>
      <c r="B251" s="137" t="n"/>
      <c r="G251" s="122" t="n"/>
      <c r="H251" s="122" t="n"/>
      <c r="I251" s="122" t="n"/>
      <c r="K251" s="133" t="n"/>
      <c r="N251" s="133" t="n"/>
      <c r="S251" s="154">
        <f>IF(P251="","",IF(P251="L",ABS((M251-L251)/(L251-J251)),IF(P251="S",ABS((L251-M251)/(J251-L251)),"")))</f>
        <v/>
      </c>
      <c r="V251" s="133">
        <f>IF(U251="","",IF(U251="SL",K251,IF(U251="TP",N251,"")))</f>
        <v/>
      </c>
      <c r="X251" s="125">
        <f>IF(O251="","",IF(AND(O251="Buy",$E$24&lt;J251),"SL",IF(AND(O251="Buy",$D$24&gt;M251),"TP",IF(AND(O251="Sell",$D$24&gt;J251),"SL",IF(AND(O251="Sell",$E$24&lt;M251),"TP","")))))</f>
        <v/>
      </c>
    </row>
    <row r="252" spans="1:24">
      <c r="A252" s="125" t="n">
        <v>226</v>
      </c>
      <c r="B252" s="137" t="n"/>
      <c r="G252" s="122" t="n"/>
      <c r="H252" s="122" t="n"/>
      <c r="I252" s="122" t="n"/>
      <c r="K252" s="133" t="n"/>
      <c r="N252" s="133" t="n"/>
      <c r="S252" s="154">
        <f>IF(P252="","",IF(P252="L",ABS((M252-L252)/(L252-J252)),IF(P252="S",ABS((L252-M252)/(J252-L252)),"")))</f>
        <v/>
      </c>
      <c r="V252" s="133">
        <f>IF(U252="","",IF(U252="SL",K252,IF(U252="TP",N252,"")))</f>
        <v/>
      </c>
      <c r="X252" s="125">
        <f>IF(O252="","",IF(AND(O252="Buy",$E$24&lt;J252),"SL",IF(AND(O252="Buy",$D$24&gt;M252),"TP",IF(AND(O252="Sell",$D$24&gt;J252),"SL",IF(AND(O252="Sell",$E$24&lt;M252),"TP","")))))</f>
        <v/>
      </c>
    </row>
    <row r="253" spans="1:24">
      <c r="A253" s="125" t="n">
        <v>227</v>
      </c>
      <c r="B253" s="137" t="n"/>
      <c r="G253" s="122" t="n"/>
      <c r="H253" s="122" t="n"/>
      <c r="I253" s="122" t="n"/>
      <c r="K253" s="133" t="n"/>
      <c r="N253" s="133" t="n"/>
      <c r="S253" s="154">
        <f>IF(P253="","",IF(P253="L",ABS((M253-L253)/(L253-J253)),IF(P253="S",ABS((L253-M253)/(J253-L253)),"")))</f>
        <v/>
      </c>
      <c r="V253" s="133">
        <f>IF(U253="","",IF(U253="SL",K253,IF(U253="TP",N253,"")))</f>
        <v/>
      </c>
      <c r="X253" s="125">
        <f>IF(O253="","",IF(AND(O253="Buy",$E$24&lt;J253),"SL",IF(AND(O253="Buy",$D$24&gt;M253),"TP",IF(AND(O253="Sell",$D$24&gt;J253),"SL",IF(AND(O253="Sell",$E$24&lt;M253),"TP","")))))</f>
        <v/>
      </c>
    </row>
    <row r="254" spans="1:24">
      <c r="A254" s="125" t="n">
        <v>228</v>
      </c>
      <c r="B254" s="137" t="n"/>
      <c r="G254" s="122" t="n"/>
      <c r="H254" s="122" t="n"/>
      <c r="I254" s="122" t="n"/>
      <c r="K254" s="133" t="n"/>
      <c r="N254" s="133" t="n"/>
      <c r="S254" s="154">
        <f>IF(P254="","",IF(P254="L",ABS((M254-L254)/(L254-J254)),IF(P254="S",ABS((L254-M254)/(J254-L254)),"")))</f>
        <v/>
      </c>
      <c r="V254" s="133">
        <f>IF(U254="","",IF(U254="SL",K254,IF(U254="TP",N254,"")))</f>
        <v/>
      </c>
      <c r="X254" s="125">
        <f>IF(O254="","",IF(AND(O254="Buy",$E$24&lt;J254),"SL",IF(AND(O254="Buy",$D$24&gt;M254),"TP",IF(AND(O254="Sell",$D$24&gt;J254),"SL",IF(AND(O254="Sell",$E$24&lt;M254),"TP","")))))</f>
        <v/>
      </c>
    </row>
    <row r="255" spans="1:24">
      <c r="A255" s="125" t="n">
        <v>229</v>
      </c>
      <c r="B255" s="137" t="n"/>
      <c r="G255" s="122" t="n"/>
      <c r="H255" s="122" t="n"/>
      <c r="I255" s="122" t="n"/>
      <c r="K255" s="133" t="n"/>
      <c r="N255" s="133" t="n"/>
      <c r="S255" s="154">
        <f>IF(P255="","",IF(P255="L",ABS((M255-L255)/(L255-J255)),IF(P255="S",ABS((L255-M255)/(J255-L255)),"")))</f>
        <v/>
      </c>
      <c r="V255" s="133">
        <f>IF(U255="","",IF(U255="SL",K255,IF(U255="TP",N255,"")))</f>
        <v/>
      </c>
      <c r="X255" s="125">
        <f>IF(O255="","",IF(AND(O255="Buy",$E$24&lt;J255),"SL",IF(AND(O255="Buy",$D$24&gt;M255),"TP",IF(AND(O255="Sell",$D$24&gt;J255),"SL",IF(AND(O255="Sell",$E$24&lt;M255),"TP","")))))</f>
        <v/>
      </c>
    </row>
    <row r="256" spans="1:24">
      <c r="A256" s="125" t="n">
        <v>230</v>
      </c>
      <c r="B256" s="137" t="n"/>
      <c r="G256" s="122" t="n"/>
      <c r="H256" s="122" t="n"/>
      <c r="I256" s="122" t="n"/>
      <c r="K256" s="133" t="n"/>
      <c r="N256" s="133" t="n"/>
      <c r="S256" s="154">
        <f>IF(P256="","",IF(P256="L",ABS((M256-L256)/(L256-J256)),IF(P256="S",ABS((L256-M256)/(J256-L256)),"")))</f>
        <v/>
      </c>
      <c r="V256" s="133">
        <f>IF(U256="","",IF(U256="SL",K256,IF(U256="TP",N256,"")))</f>
        <v/>
      </c>
      <c r="X256" s="125">
        <f>IF(O256="","",IF(AND(O256="Buy",$E$24&lt;J256),"SL",IF(AND(O256="Buy",$D$24&gt;M256),"TP",IF(AND(O256="Sell",$D$24&gt;J256),"SL",IF(AND(O256="Sell",$E$24&lt;M256),"TP","")))))</f>
        <v/>
      </c>
    </row>
    <row r="257" spans="1:24">
      <c r="A257" s="125" t="n">
        <v>231</v>
      </c>
      <c r="B257" s="137" t="n"/>
      <c r="G257" s="122" t="n"/>
      <c r="H257" s="122" t="n"/>
      <c r="I257" s="122" t="n"/>
      <c r="K257" s="133" t="n"/>
      <c r="N257" s="133" t="n"/>
      <c r="S257" s="154">
        <f>IF(P257="","",IF(P257="L",ABS((M257-L257)/(L257-J257)),IF(P257="S",ABS((L257-M257)/(J257-L257)),"")))</f>
        <v/>
      </c>
      <c r="V257" s="133">
        <f>IF(U257="","",IF(U257="SL",K257,IF(U257="TP",N257,"")))</f>
        <v/>
      </c>
      <c r="X257" s="125">
        <f>IF(O257="","",IF(AND(O257="Buy",$E$24&lt;J257),"SL",IF(AND(O257="Buy",$D$24&gt;M257),"TP",IF(AND(O257="Sell",$D$24&gt;J257),"SL",IF(AND(O257="Sell",$E$24&lt;M257),"TP","")))))</f>
        <v/>
      </c>
    </row>
    <row r="258" spans="1:24">
      <c r="A258" s="125" t="n">
        <v>232</v>
      </c>
      <c r="B258" s="137" t="n"/>
      <c r="G258" s="122" t="n"/>
      <c r="H258" s="122" t="n"/>
      <c r="I258" s="122" t="n"/>
      <c r="K258" s="133" t="n"/>
      <c r="N258" s="133" t="n"/>
      <c r="S258" s="154">
        <f>IF(P258="","",IF(P258="L",ABS((M258-L258)/(L258-J258)),IF(P258="S",ABS((L258-M258)/(J258-L258)),"")))</f>
        <v/>
      </c>
      <c r="V258" s="133">
        <f>IF(U258="","",IF(U258="SL",K258,IF(U258="TP",N258,"")))</f>
        <v/>
      </c>
      <c r="X258" s="125">
        <f>IF(O258="","",IF(AND(O258="Buy",$E$24&lt;J258),"SL",IF(AND(O258="Buy",$D$24&gt;M258),"TP",IF(AND(O258="Sell",$D$24&gt;J258),"SL",IF(AND(O258="Sell",$E$24&lt;M258),"TP","")))))</f>
        <v/>
      </c>
    </row>
    <row r="259" spans="1:24">
      <c r="A259" s="125" t="n">
        <v>233</v>
      </c>
      <c r="B259" s="137" t="n"/>
      <c r="G259" s="122" t="n"/>
      <c r="H259" s="122" t="n"/>
      <c r="I259" s="122" t="n"/>
      <c r="K259" s="133" t="n"/>
      <c r="N259" s="133" t="n"/>
      <c r="S259" s="154">
        <f>IF(P259="","",IF(P259="L",ABS((M259-L259)/(L259-J259)),IF(P259="S",ABS((L259-M259)/(J259-L259)),"")))</f>
        <v/>
      </c>
      <c r="V259" s="133">
        <f>IF(U259="","",IF(U259="SL",K259,IF(U259="TP",N259,"")))</f>
        <v/>
      </c>
      <c r="X259" s="125">
        <f>IF(O259="","",IF(AND(O259="Buy",$E$24&lt;J259),"SL",IF(AND(O259="Buy",$D$24&gt;M259),"TP",IF(AND(O259="Sell",$D$24&gt;J259),"SL",IF(AND(O259="Sell",$E$24&lt;M259),"TP","")))))</f>
        <v/>
      </c>
    </row>
    <row r="260" spans="1:24">
      <c r="A260" s="125" t="n">
        <v>234</v>
      </c>
      <c r="B260" s="137" t="n"/>
      <c r="G260" s="122" t="n"/>
      <c r="H260" s="122" t="n"/>
      <c r="I260" s="122" t="n"/>
      <c r="K260" s="133" t="n"/>
      <c r="N260" s="133" t="n"/>
      <c r="S260" s="154">
        <f>IF(P260="","",IF(P260="L",ABS((M260-L260)/(L260-J260)),IF(P260="S",ABS((L260-M260)/(J260-L260)),"")))</f>
        <v/>
      </c>
      <c r="V260" s="133">
        <f>IF(U260="","",IF(U260="SL",K260,IF(U260="TP",N260,"")))</f>
        <v/>
      </c>
      <c r="X260" s="125">
        <f>IF(O260="","",IF(AND(O260="Buy",$E$24&lt;J260),"SL",IF(AND(O260="Buy",$D$24&gt;M260),"TP",IF(AND(O260="Sell",$D$24&gt;J260),"SL",IF(AND(O260="Sell",$E$24&lt;M260),"TP","")))))</f>
        <v/>
      </c>
    </row>
    <row r="261" spans="1:24">
      <c r="A261" s="125" t="n">
        <v>235</v>
      </c>
      <c r="B261" s="137" t="n"/>
      <c r="G261" s="122" t="n"/>
      <c r="H261" s="122" t="n"/>
      <c r="I261" s="122" t="n"/>
      <c r="K261" s="133" t="n"/>
      <c r="N261" s="133" t="n"/>
      <c r="S261" s="154">
        <f>IF(P261="","",IF(P261="L",ABS((M261-L261)/(L261-J261)),IF(P261="S",ABS((L261-M261)/(J261-L261)),"")))</f>
        <v/>
      </c>
      <c r="V261" s="133">
        <f>IF(U261="","",IF(U261="SL",K261,IF(U261="TP",N261,"")))</f>
        <v/>
      </c>
      <c r="X261" s="125">
        <f>IF(O261="","",IF(AND(O261="Buy",$E$24&lt;J261),"SL",IF(AND(O261="Buy",$D$24&gt;M261),"TP",IF(AND(O261="Sell",$D$24&gt;J261),"SL",IF(AND(O261="Sell",$E$24&lt;M261),"TP","")))))</f>
        <v/>
      </c>
    </row>
    <row r="262" spans="1:24">
      <c r="A262" s="125" t="n">
        <v>236</v>
      </c>
      <c r="B262" s="137" t="n"/>
      <c r="G262" s="122" t="n"/>
      <c r="H262" s="122" t="n"/>
      <c r="I262" s="122" t="n"/>
      <c r="K262" s="133" t="n"/>
      <c r="N262" s="133" t="n"/>
      <c r="S262" s="154">
        <f>IF(P262="","",IF(P262="L",ABS((M262-L262)/(L262-J262)),IF(P262="S",ABS((L262-M262)/(J262-L262)),"")))</f>
        <v/>
      </c>
      <c r="V262" s="133">
        <f>IF(U262="","",IF(U262="SL",K262,IF(U262="TP",N262,"")))</f>
        <v/>
      </c>
      <c r="X262" s="125">
        <f>IF(O262="","",IF(AND(O262="Buy",$E$24&lt;J262),"SL",IF(AND(O262="Buy",$D$24&gt;M262),"TP",IF(AND(O262="Sell",$D$24&gt;J262),"SL",IF(AND(O262="Sell",$E$24&lt;M262),"TP","")))))</f>
        <v/>
      </c>
    </row>
    <row r="263" spans="1:24">
      <c r="A263" s="125" t="n">
        <v>237</v>
      </c>
      <c r="B263" s="137" t="n"/>
      <c r="G263" s="122" t="n"/>
      <c r="H263" s="122" t="n"/>
      <c r="I263" s="122" t="n"/>
      <c r="K263" s="133" t="n"/>
      <c r="N263" s="133" t="n"/>
      <c r="S263" s="154">
        <f>IF(P263="","",IF(P263="L",ABS((M263-L263)/(L263-J263)),IF(P263="S",ABS((L263-M263)/(J263-L263)),"")))</f>
        <v/>
      </c>
      <c r="V263" s="133">
        <f>IF(U263="","",IF(U263="SL",K263,IF(U263="TP",N263,"")))</f>
        <v/>
      </c>
      <c r="X263" s="125">
        <f>IF(O263="","",IF(AND(O263="Buy",$E$24&lt;J263),"SL",IF(AND(O263="Buy",$D$24&gt;M263),"TP",IF(AND(O263="Sell",$D$24&gt;J263),"SL",IF(AND(O263="Sell",$E$24&lt;M263),"TP","")))))</f>
        <v/>
      </c>
    </row>
    <row r="264" spans="1:24">
      <c r="A264" s="125" t="n">
        <v>238</v>
      </c>
      <c r="B264" s="137" t="n"/>
      <c r="G264" s="122" t="n"/>
      <c r="H264" s="122" t="n"/>
      <c r="I264" s="122" t="n"/>
      <c r="K264" s="133" t="n"/>
      <c r="N264" s="133" t="n"/>
      <c r="S264" s="154">
        <f>IF(P264="","",IF(P264="L",ABS((M264-L264)/(L264-J264)),IF(P264="S",ABS((L264-M264)/(J264-L264)),"")))</f>
        <v/>
      </c>
      <c r="V264" s="133">
        <f>IF(U264="","",IF(U264="SL",K264,IF(U264="TP",N264,"")))</f>
        <v/>
      </c>
      <c r="X264" s="125">
        <f>IF(O264="","",IF(AND(O264="Buy",$E$24&lt;J264),"SL",IF(AND(O264="Buy",$D$24&gt;M264),"TP",IF(AND(O264="Sell",$D$24&gt;J264),"SL",IF(AND(O264="Sell",$E$24&lt;M264),"TP","")))))</f>
        <v/>
      </c>
    </row>
    <row r="265" spans="1:24">
      <c r="A265" s="125" t="n">
        <v>239</v>
      </c>
      <c r="B265" s="137" t="n"/>
      <c r="G265" s="122" t="n"/>
      <c r="H265" s="122" t="n"/>
      <c r="I265" s="122" t="n"/>
      <c r="K265" s="133" t="n"/>
      <c r="N265" s="133" t="n"/>
      <c r="S265" s="154">
        <f>IF(P265="","",IF(P265="L",ABS((M265-L265)/(L265-J265)),IF(P265="S",ABS((L265-M265)/(J265-L265)),"")))</f>
        <v/>
      </c>
      <c r="V265" s="133">
        <f>IF(U265="","",IF(U265="SL",K265,IF(U265="TP",N265,"")))</f>
        <v/>
      </c>
      <c r="X265" s="125">
        <f>IF(O265="","",IF(AND(O265="Buy",$E$24&lt;J265),"SL",IF(AND(O265="Buy",$D$24&gt;M265),"TP",IF(AND(O265="Sell",$D$24&gt;J265),"SL",IF(AND(O265="Sell",$E$24&lt;M265),"TP","")))))</f>
        <v/>
      </c>
    </row>
    <row r="266" spans="1:24">
      <c r="A266" s="125" t="n">
        <v>240</v>
      </c>
      <c r="B266" s="137" t="n"/>
      <c r="G266" s="122" t="n"/>
      <c r="H266" s="122" t="n"/>
      <c r="I266" s="122" t="n"/>
      <c r="K266" s="133" t="n"/>
      <c r="N266" s="133" t="n"/>
      <c r="S266" s="154">
        <f>IF(P266="","",IF(P266="L",ABS((M266-L266)/(L266-J266)),IF(P266="S",ABS((L266-M266)/(J266-L266)),"")))</f>
        <v/>
      </c>
      <c r="V266" s="133">
        <f>IF(U266="","",IF(U266="SL",K266,IF(U266="TP",N266,"")))</f>
        <v/>
      </c>
      <c r="X266" s="125">
        <f>IF(O266="","",IF(AND(O266="Buy",$E$24&lt;J266),"SL",IF(AND(O266="Buy",$D$24&gt;M266),"TP",IF(AND(O266="Sell",$D$24&gt;J266),"SL",IF(AND(O266="Sell",$E$24&lt;M266),"TP","")))))</f>
        <v/>
      </c>
    </row>
    <row r="267" spans="1:24">
      <c r="A267" s="125" t="n">
        <v>241</v>
      </c>
      <c r="B267" s="137" t="n"/>
      <c r="G267" s="122" t="n"/>
      <c r="H267" s="122" t="n"/>
      <c r="I267" s="122" t="n"/>
      <c r="K267" s="133" t="n"/>
      <c r="N267" s="133" t="n"/>
      <c r="S267" s="154">
        <f>IF(P267="","",IF(P267="L",ABS((M267-L267)/(L267-J267)),IF(P267="S",ABS((L267-M267)/(J267-L267)),"")))</f>
        <v/>
      </c>
      <c r="V267" s="133">
        <f>IF(U267="","",IF(U267="SL",K267,IF(U267="TP",N267,"")))</f>
        <v/>
      </c>
      <c r="X267" s="125">
        <f>IF(O267="","",IF(AND(O267="Buy",$E$24&lt;J267),"SL",IF(AND(O267="Buy",$D$24&gt;M267),"TP",IF(AND(O267="Sell",$D$24&gt;J267),"SL",IF(AND(O267="Sell",$E$24&lt;M267),"TP","")))))</f>
        <v/>
      </c>
    </row>
    <row r="268" spans="1:24">
      <c r="A268" s="125" t="n">
        <v>242</v>
      </c>
      <c r="B268" s="137" t="n"/>
      <c r="G268" s="122" t="n"/>
      <c r="H268" s="122" t="n"/>
      <c r="I268" s="122" t="n"/>
      <c r="K268" s="133" t="n"/>
      <c r="N268" s="133" t="n"/>
      <c r="S268" s="154">
        <f>IF(P268="","",IF(P268="L",ABS((M268-L268)/(L268-J268)),IF(P268="S",ABS((L268-M268)/(J268-L268)),"")))</f>
        <v/>
      </c>
      <c r="V268" s="133">
        <f>IF(U268="","",IF(U268="SL",K268,IF(U268="TP",N268,"")))</f>
        <v/>
      </c>
      <c r="X268" s="125">
        <f>IF(O268="","",IF(AND(O268="Buy",$E$24&lt;J268),"SL",IF(AND(O268="Buy",$D$24&gt;M268),"TP",IF(AND(O268="Sell",$D$24&gt;J268),"SL",IF(AND(O268="Sell",$E$24&lt;M268),"TP","")))))</f>
        <v/>
      </c>
    </row>
    <row r="269" spans="1:24">
      <c r="A269" s="125" t="n">
        <v>243</v>
      </c>
      <c r="B269" s="137" t="n"/>
      <c r="G269" s="122" t="n"/>
      <c r="H269" s="122" t="n"/>
      <c r="I269" s="122" t="n"/>
      <c r="K269" s="133" t="n"/>
      <c r="N269" s="133" t="n"/>
      <c r="S269" s="154">
        <f>IF(P269="","",IF(P269="L",ABS((M269-L269)/(L269-J269)),IF(P269="S",ABS((L269-M269)/(J269-L269)),"")))</f>
        <v/>
      </c>
      <c r="V269" s="133">
        <f>IF(U269="","",IF(U269="SL",K269,IF(U269="TP",N269,"")))</f>
        <v/>
      </c>
      <c r="X269" s="125">
        <f>IF(O269="","",IF(AND(O269="Buy",$E$24&lt;J269),"SL",IF(AND(O269="Buy",$D$24&gt;M269),"TP",IF(AND(O269="Sell",$D$24&gt;J269),"SL",IF(AND(O269="Sell",$E$24&lt;M269),"TP","")))))</f>
        <v/>
      </c>
    </row>
    <row r="270" spans="1:24">
      <c r="A270" s="125" t="n">
        <v>244</v>
      </c>
      <c r="B270" s="137" t="n"/>
      <c r="G270" s="122" t="n"/>
      <c r="H270" s="122" t="n"/>
      <c r="I270" s="122" t="n"/>
      <c r="K270" s="133" t="n"/>
      <c r="N270" s="133" t="n"/>
      <c r="S270" s="154">
        <f>IF(P270="","",IF(P270="L",ABS((M270-L270)/(L270-J270)),IF(P270="S",ABS((L270-M270)/(J270-L270)),"")))</f>
        <v/>
      </c>
      <c r="V270" s="133">
        <f>IF(U270="","",IF(U270="SL",K270,IF(U270="TP",N270,"")))</f>
        <v/>
      </c>
      <c r="X270" s="125">
        <f>IF(O270="","",IF(AND(O270="Buy",$E$24&lt;J270),"SL",IF(AND(O270="Buy",$D$24&gt;M270),"TP",IF(AND(O270="Sell",$D$24&gt;J270),"SL",IF(AND(O270="Sell",$E$24&lt;M270),"TP","")))))</f>
        <v/>
      </c>
    </row>
    <row r="271" spans="1:24">
      <c r="A271" s="125" t="n">
        <v>245</v>
      </c>
      <c r="B271" s="137" t="n"/>
      <c r="G271" s="122" t="n"/>
      <c r="H271" s="122" t="n"/>
      <c r="I271" s="122" t="n"/>
      <c r="K271" s="133" t="n"/>
      <c r="N271" s="133" t="n"/>
      <c r="S271" s="154">
        <f>IF(P271="","",IF(P271="L",ABS((M271-L271)/(L271-J271)),IF(P271="S",ABS((L271-M271)/(J271-L271)),"")))</f>
        <v/>
      </c>
      <c r="V271" s="133">
        <f>IF(U271="","",IF(U271="SL",K271,IF(U271="TP",N271,"")))</f>
        <v/>
      </c>
      <c r="X271" s="125">
        <f>IF(O271="","",IF(AND(O271="Buy",$E$24&lt;J271),"SL",IF(AND(O271="Buy",$D$24&gt;M271),"TP",IF(AND(O271="Sell",$D$24&gt;J271),"SL",IF(AND(O271="Sell",$E$24&lt;M271),"TP","")))))</f>
        <v/>
      </c>
    </row>
    <row r="272" spans="1:24">
      <c r="A272" s="125" t="n">
        <v>246</v>
      </c>
      <c r="B272" s="137" t="n"/>
      <c r="G272" s="122" t="n"/>
      <c r="H272" s="122" t="n"/>
      <c r="I272" s="122" t="n"/>
      <c r="K272" s="133" t="n"/>
      <c r="N272" s="133" t="n"/>
      <c r="S272" s="154">
        <f>IF(P272="","",IF(P272="L",ABS((M272-L272)/(L272-J272)),IF(P272="S",ABS((L272-M272)/(J272-L272)),"")))</f>
        <v/>
      </c>
      <c r="V272" s="133">
        <f>IF(U272="","",IF(U272="SL",K272,IF(U272="TP",N272,"")))</f>
        <v/>
      </c>
      <c r="X272" s="125">
        <f>IF(O272="","",IF(AND(O272="Buy",$E$24&lt;J272),"SL",IF(AND(O272="Buy",$D$24&gt;M272),"TP",IF(AND(O272="Sell",$D$24&gt;J272),"SL",IF(AND(O272="Sell",$E$24&lt;M272),"TP","")))))</f>
        <v/>
      </c>
    </row>
    <row r="273" spans="1:24">
      <c r="A273" s="125" t="n">
        <v>247</v>
      </c>
      <c r="B273" s="137" t="n"/>
      <c r="G273" s="122" t="n"/>
      <c r="H273" s="122" t="n"/>
      <c r="I273" s="122" t="n"/>
      <c r="K273" s="133" t="n"/>
      <c r="N273" s="133" t="n"/>
      <c r="S273" s="154">
        <f>IF(P273="","",IF(P273="L",ABS((M273-L273)/(L273-J273)),IF(P273="S",ABS((L273-M273)/(J273-L273)),"")))</f>
        <v/>
      </c>
      <c r="V273" s="133">
        <f>IF(U273="","",IF(U273="SL",K273,IF(U273="TP",N273,"")))</f>
        <v/>
      </c>
      <c r="X273" s="125">
        <f>IF(O273="","",IF(AND(O273="Buy",$E$24&lt;J273),"SL",IF(AND(O273="Buy",$D$24&gt;M273),"TP",IF(AND(O273="Sell",$D$24&gt;J273),"SL",IF(AND(O273="Sell",$E$24&lt;M273),"TP","")))))</f>
        <v/>
      </c>
    </row>
    <row r="274" spans="1:24">
      <c r="A274" s="125" t="n">
        <v>248</v>
      </c>
      <c r="B274" s="137" t="n"/>
      <c r="G274" s="122" t="n"/>
      <c r="H274" s="122" t="n"/>
      <c r="I274" s="122" t="n"/>
      <c r="K274" s="133" t="n"/>
      <c r="N274" s="133" t="n"/>
      <c r="S274" s="154">
        <f>IF(P274="","",IF(P274="L",ABS((M274-L274)/(L274-J274)),IF(P274="S",ABS((L274-M274)/(J274-L274)),"")))</f>
        <v/>
      </c>
      <c r="V274" s="133">
        <f>IF(U274="","",IF(U274="SL",K274,IF(U274="TP",N274,"")))</f>
        <v/>
      </c>
      <c r="X274" s="125">
        <f>IF(O274="","",IF(AND(O274="Buy",$E$24&lt;J274),"SL",IF(AND(O274="Buy",$D$24&gt;M274),"TP",IF(AND(O274="Sell",$D$24&gt;J274),"SL",IF(AND(O274="Sell",$E$24&lt;M274),"TP","")))))</f>
        <v/>
      </c>
    </row>
    <row r="275" spans="1:24">
      <c r="A275" s="125" t="n">
        <v>249</v>
      </c>
      <c r="B275" s="137" t="n"/>
      <c r="G275" s="122" t="n"/>
      <c r="H275" s="122" t="n"/>
      <c r="I275" s="122" t="n"/>
      <c r="K275" s="133" t="n"/>
      <c r="N275" s="133" t="n"/>
      <c r="S275" s="154">
        <f>IF(P275="","",IF(P275="L",ABS((M275-L275)/(L275-J275)),IF(P275="S",ABS((L275-M275)/(J275-L275)),"")))</f>
        <v/>
      </c>
      <c r="V275" s="133">
        <f>IF(U275="","",IF(U275="SL",K275,IF(U275="TP",N275,"")))</f>
        <v/>
      </c>
      <c r="X275" s="125">
        <f>IF(O275="","",IF(AND(O275="Buy",$E$24&lt;J275),"SL",IF(AND(O275="Buy",$D$24&gt;M275),"TP",IF(AND(O275="Sell",$D$24&gt;J275),"SL",IF(AND(O275="Sell",$E$24&lt;M275),"TP","")))))</f>
        <v/>
      </c>
    </row>
    <row r="276" spans="1:24">
      <c r="A276" s="125" t="n">
        <v>250</v>
      </c>
      <c r="B276" s="137" t="n"/>
      <c r="G276" s="122" t="n"/>
      <c r="H276" s="122" t="n"/>
      <c r="I276" s="122" t="n"/>
      <c r="K276" s="133" t="n"/>
      <c r="N276" s="133" t="n"/>
      <c r="S276" s="154">
        <f>IF(P276="","",IF(P276="L",ABS((M276-L276)/(L276-J276)),IF(P276="S",ABS((L276-M276)/(J276-L276)),"")))</f>
        <v/>
      </c>
      <c r="V276" s="133">
        <f>IF(U276="","",IF(U276="SL",K276,IF(U276="TP",N276,"")))</f>
        <v/>
      </c>
      <c r="X276" s="125">
        <f>IF(O276="","",IF(AND(O276="Buy",$E$24&lt;J276),"SL",IF(AND(O276="Buy",$D$24&gt;M276),"TP",IF(AND(O276="Sell",$D$24&gt;J276),"SL",IF(AND(O276="Sell",$E$24&lt;M276),"TP","")))))</f>
        <v/>
      </c>
    </row>
    <row r="277" spans="1:24">
      <c r="A277" s="125" t="n">
        <v>251</v>
      </c>
      <c r="B277" s="137" t="n"/>
      <c r="G277" s="122" t="n"/>
      <c r="H277" s="122" t="n"/>
      <c r="I277" s="122" t="n"/>
      <c r="K277" s="133" t="n"/>
      <c r="N277" s="133" t="n"/>
      <c r="S277" s="154">
        <f>IF(P277="","",IF(P277="L",ABS((M277-L277)/(L277-J277)),IF(P277="S",ABS((L277-M277)/(J277-L277)),"")))</f>
        <v/>
      </c>
      <c r="V277" s="133">
        <f>IF(U277="","",IF(U277="SL",K277,IF(U277="TP",N277,"")))</f>
        <v/>
      </c>
      <c r="X277" s="125">
        <f>IF(O277="","",IF(AND(O277="Buy",$E$24&lt;J277),"SL",IF(AND(O277="Buy",$D$24&gt;M277),"TP",IF(AND(O277="Sell",$D$24&gt;J277),"SL",IF(AND(O277="Sell",$E$24&lt;M277),"TP","")))))</f>
        <v/>
      </c>
    </row>
    <row r="278" spans="1:24">
      <c r="A278" s="125" t="n">
        <v>252</v>
      </c>
      <c r="B278" s="137" t="n"/>
      <c r="G278" s="122" t="n"/>
      <c r="H278" s="122" t="n"/>
      <c r="I278" s="122" t="n"/>
      <c r="K278" s="133" t="n"/>
      <c r="N278" s="133" t="n"/>
      <c r="S278" s="154">
        <f>IF(P278="","",IF(P278="L",ABS((M278-L278)/(L278-J278)),IF(P278="S",ABS((L278-M278)/(J278-L278)),"")))</f>
        <v/>
      </c>
      <c r="V278" s="133">
        <f>IF(U278="","",IF(U278="SL",K278,IF(U278="TP",N278,"")))</f>
        <v/>
      </c>
      <c r="X278" s="125">
        <f>IF(O278="","",IF(AND(O278="Buy",$E$24&lt;J278),"SL",IF(AND(O278="Buy",$D$24&gt;M278),"TP",IF(AND(O278="Sell",$D$24&gt;J278),"SL",IF(AND(O278="Sell",$E$24&lt;M278),"TP","")))))</f>
        <v/>
      </c>
    </row>
    <row r="279" spans="1:24">
      <c r="A279" s="125" t="n">
        <v>253</v>
      </c>
      <c r="B279" s="137" t="n"/>
      <c r="G279" s="122" t="n"/>
      <c r="H279" s="122" t="n"/>
      <c r="I279" s="122" t="n"/>
      <c r="K279" s="133" t="n"/>
      <c r="N279" s="133" t="n"/>
      <c r="S279" s="154">
        <f>IF(P279="","",IF(P279="L",ABS((M279-L279)/(L279-J279)),IF(P279="S",ABS((L279-M279)/(J279-L279)),"")))</f>
        <v/>
      </c>
      <c r="V279" s="133">
        <f>IF(U279="","",IF(U279="SL",K279,IF(U279="TP",N279,"")))</f>
        <v/>
      </c>
      <c r="X279" s="125">
        <f>IF(O279="","",IF(AND(O279="Buy",$E$24&lt;J279),"SL",IF(AND(O279="Buy",$D$24&gt;M279),"TP",IF(AND(O279="Sell",$D$24&gt;J279),"SL",IF(AND(O279="Sell",$E$24&lt;M279),"TP","")))))</f>
        <v/>
      </c>
    </row>
    <row r="280" spans="1:24">
      <c r="A280" s="125" t="n">
        <v>254</v>
      </c>
      <c r="B280" s="137" t="n"/>
      <c r="G280" s="122" t="n"/>
      <c r="H280" s="122" t="n"/>
      <c r="I280" s="122" t="n"/>
      <c r="K280" s="133" t="n"/>
      <c r="N280" s="133" t="n"/>
      <c r="S280" s="154">
        <f>IF(P280="","",IF(P280="L",ABS((M280-L280)/(L280-J280)),IF(P280="S",ABS((L280-M280)/(J280-L280)),"")))</f>
        <v/>
      </c>
      <c r="V280" s="133">
        <f>IF(U280="","",IF(U280="SL",K280,IF(U280="TP",N280,"")))</f>
        <v/>
      </c>
      <c r="X280" s="125">
        <f>IF(O280="","",IF(AND(O280="Buy",$E$24&lt;J280),"SL",IF(AND(O280="Buy",$D$24&gt;M280),"TP",IF(AND(O280="Sell",$D$24&gt;J280),"SL",IF(AND(O280="Sell",$E$24&lt;M280),"TP","")))))</f>
        <v/>
      </c>
    </row>
    <row r="281" spans="1:24">
      <c r="A281" s="125" t="n">
        <v>255</v>
      </c>
      <c r="B281" s="137" t="n"/>
      <c r="G281" s="122" t="n"/>
      <c r="H281" s="122" t="n"/>
      <c r="I281" s="122" t="n"/>
      <c r="K281" s="133" t="n"/>
      <c r="N281" s="133" t="n"/>
      <c r="S281" s="154">
        <f>IF(P281="","",IF(P281="L",ABS((M281-L281)/(L281-J281)),IF(P281="S",ABS((L281-M281)/(J281-L281)),"")))</f>
        <v/>
      </c>
      <c r="V281" s="133">
        <f>IF(U281="","",IF(U281="SL",K281,IF(U281="TP",N281,"")))</f>
        <v/>
      </c>
      <c r="X281" s="125">
        <f>IF(O281="","",IF(AND(O281="Buy",$E$24&lt;J281),"SL",IF(AND(O281="Buy",$D$24&gt;M281),"TP",IF(AND(O281="Sell",$D$24&gt;J281),"SL",IF(AND(O281="Sell",$E$24&lt;M281),"TP","")))))</f>
        <v/>
      </c>
    </row>
    <row r="282" spans="1:24">
      <c r="A282" s="125" t="n">
        <v>256</v>
      </c>
      <c r="B282" s="137" t="n"/>
      <c r="G282" s="122" t="n"/>
      <c r="H282" s="122" t="n"/>
      <c r="I282" s="122" t="n"/>
      <c r="K282" s="133" t="n"/>
      <c r="N282" s="133" t="n"/>
      <c r="S282" s="154">
        <f>IF(P282="","",IF(P282="L",ABS((M282-L282)/(L282-J282)),IF(P282="S",ABS((L282-M282)/(J282-L282)),"")))</f>
        <v/>
      </c>
      <c r="V282" s="133">
        <f>IF(U282="","",IF(U282="SL",K282,IF(U282="TP",N282,"")))</f>
        <v/>
      </c>
      <c r="X282" s="125">
        <f>IF(O282="","",IF(AND(O282="Buy",$E$24&lt;J282),"SL",IF(AND(O282="Buy",$D$24&gt;M282),"TP",IF(AND(O282="Sell",$D$24&gt;J282),"SL",IF(AND(O282="Sell",$E$24&lt;M282),"TP","")))))</f>
        <v/>
      </c>
    </row>
    <row r="283" spans="1:24">
      <c r="A283" s="125" t="n">
        <v>257</v>
      </c>
      <c r="B283" s="137" t="n"/>
      <c r="G283" s="122" t="n"/>
      <c r="H283" s="122" t="n"/>
      <c r="I283" s="122" t="n"/>
      <c r="K283" s="133" t="n"/>
      <c r="N283" s="133" t="n"/>
      <c r="S283" s="154">
        <f>IF(P283="","",IF(P283="L",ABS((M283-L283)/(L283-J283)),IF(P283="S",ABS((L283-M283)/(J283-L283)),"")))</f>
        <v/>
      </c>
      <c r="V283" s="133">
        <f>IF(U283="","",IF(U283="SL",K283,IF(U283="TP",N283,"")))</f>
        <v/>
      </c>
      <c r="X283" s="125">
        <f>IF(O283="","",IF(AND(O283="Buy",$E$24&lt;J283),"SL",IF(AND(O283="Buy",$D$24&gt;M283),"TP",IF(AND(O283="Sell",$D$24&gt;J283),"SL",IF(AND(O283="Sell",$E$24&lt;M283),"TP","")))))</f>
        <v/>
      </c>
    </row>
    <row r="284" spans="1:24">
      <c r="A284" s="125" t="n">
        <v>258</v>
      </c>
      <c r="B284" s="137" t="n"/>
      <c r="G284" s="122" t="n"/>
      <c r="H284" s="122" t="n"/>
      <c r="I284" s="122" t="n"/>
      <c r="K284" s="133" t="n"/>
      <c r="N284" s="133" t="n"/>
      <c r="S284" s="154">
        <f>IF(P284="","",IF(P284="L",ABS((M284-L284)/(L284-J284)),IF(P284="S",ABS((L284-M284)/(J284-L284)),"")))</f>
        <v/>
      </c>
      <c r="V284" s="133">
        <f>IF(U284="","",IF(U284="SL",K284,IF(U284="TP",N284,"")))</f>
        <v/>
      </c>
      <c r="X284" s="125">
        <f>IF(O284="","",IF(AND(O284="Buy",$E$24&lt;J284),"SL",IF(AND(O284="Buy",$D$24&gt;M284),"TP",IF(AND(O284="Sell",$D$24&gt;J284),"SL",IF(AND(O284="Sell",$E$24&lt;M284),"TP","")))))</f>
        <v/>
      </c>
    </row>
    <row r="285" spans="1:24">
      <c r="A285" s="125" t="n">
        <v>259</v>
      </c>
      <c r="B285" s="137" t="n"/>
      <c r="G285" s="122" t="n"/>
      <c r="H285" s="122" t="n"/>
      <c r="I285" s="122" t="n"/>
      <c r="K285" s="133" t="n"/>
      <c r="N285" s="133" t="n"/>
      <c r="S285" s="154">
        <f>IF(P285="","",IF(P285="L",ABS((M285-L285)/(L285-J285)),IF(P285="S",ABS((L285-M285)/(J285-L285)),"")))</f>
        <v/>
      </c>
      <c r="V285" s="133">
        <f>IF(U285="","",IF(U285="SL",K285,IF(U285="TP",N285,"")))</f>
        <v/>
      </c>
      <c r="X285" s="125">
        <f>IF(O285="","",IF(AND(O285="Buy",$E$24&lt;J285),"SL",IF(AND(O285="Buy",$D$24&gt;M285),"TP",IF(AND(O285="Sell",$D$24&gt;J285),"SL",IF(AND(O285="Sell",$E$24&lt;M285),"TP","")))))</f>
        <v/>
      </c>
    </row>
    <row r="286" spans="1:24">
      <c r="A286" s="125" t="n">
        <v>260</v>
      </c>
      <c r="B286" s="137" t="n"/>
      <c r="G286" s="122" t="n"/>
      <c r="H286" s="122" t="n"/>
      <c r="I286" s="122" t="n"/>
      <c r="K286" s="133" t="n"/>
      <c r="N286" s="133" t="n"/>
      <c r="S286" s="154">
        <f>IF(P286="","",IF(P286="L",ABS((M286-L286)/(L286-J286)),IF(P286="S",ABS((L286-M286)/(J286-L286)),"")))</f>
        <v/>
      </c>
      <c r="V286" s="133">
        <f>IF(U286="","",IF(U286="SL",K286,IF(U286="TP",N286,"")))</f>
        <v/>
      </c>
      <c r="X286" s="125">
        <f>IF(O286="","",IF(AND(O286="Buy",$E$24&lt;J286),"SL",IF(AND(O286="Buy",$D$24&gt;M286),"TP",IF(AND(O286="Sell",$D$24&gt;J286),"SL",IF(AND(O286="Sell",$E$24&lt;M286),"TP","")))))</f>
        <v/>
      </c>
    </row>
    <row r="287" spans="1:24">
      <c r="A287" s="125" t="n">
        <v>261</v>
      </c>
      <c r="B287" s="137" t="n"/>
      <c r="G287" s="122" t="n"/>
      <c r="H287" s="122" t="n"/>
      <c r="I287" s="122" t="n"/>
      <c r="K287" s="133" t="n"/>
      <c r="N287" s="133" t="n"/>
      <c r="S287" s="154">
        <f>IF(P287="","",IF(P287="L",ABS((M287-L287)/(L287-J287)),IF(P287="S",ABS((L287-M287)/(J287-L287)),"")))</f>
        <v/>
      </c>
      <c r="V287" s="133">
        <f>IF(U287="","",IF(U287="SL",K287,IF(U287="TP",N287,"")))</f>
        <v/>
      </c>
      <c r="X287" s="125">
        <f>IF(O287="","",IF(AND(O287="Buy",$E$24&lt;J287),"SL",IF(AND(O287="Buy",$D$24&gt;M287),"TP",IF(AND(O287="Sell",$D$24&gt;J287),"SL",IF(AND(O287="Sell",$E$24&lt;M287),"TP","")))))</f>
        <v/>
      </c>
    </row>
    <row r="288" spans="1:24">
      <c r="A288" s="125" t="n">
        <v>262</v>
      </c>
      <c r="B288" s="137" t="n"/>
      <c r="G288" s="122" t="n"/>
      <c r="H288" s="122" t="n"/>
      <c r="I288" s="122" t="n"/>
      <c r="K288" s="133" t="n"/>
      <c r="N288" s="133" t="n"/>
      <c r="S288" s="154">
        <f>IF(P288="","",IF(P288="L",ABS((M288-L288)/(L288-J288)),IF(P288="S",ABS((L288-M288)/(J288-L288)),"")))</f>
        <v/>
      </c>
      <c r="V288" s="133">
        <f>IF(U288="","",IF(U288="SL",K288,IF(U288="TP",N288,"")))</f>
        <v/>
      </c>
      <c r="X288" s="125">
        <f>IF(O288="","",IF(AND(O288="Buy",$E$24&lt;J288),"SL",IF(AND(O288="Buy",$D$24&gt;M288),"TP",IF(AND(O288="Sell",$D$24&gt;J288),"SL",IF(AND(O288="Sell",$E$24&lt;M288),"TP","")))))</f>
        <v/>
      </c>
    </row>
    <row r="289" spans="1:24">
      <c r="A289" s="125" t="n">
        <v>263</v>
      </c>
      <c r="B289" s="137" t="n"/>
      <c r="G289" s="122" t="n"/>
      <c r="H289" s="122" t="n"/>
      <c r="I289" s="122" t="n"/>
      <c r="K289" s="133" t="n"/>
      <c r="N289" s="133" t="n"/>
      <c r="S289" s="154">
        <f>IF(P289="","",IF(P289="L",ABS((M289-L289)/(L289-J289)),IF(P289="S",ABS((L289-M289)/(J289-L289)),"")))</f>
        <v/>
      </c>
      <c r="V289" s="133">
        <f>IF(U289="","",IF(U289="SL",K289,IF(U289="TP",N289,"")))</f>
        <v/>
      </c>
      <c r="X289" s="125">
        <f>IF(O289="","",IF(AND(O289="Buy",$E$24&lt;J289),"SL",IF(AND(O289="Buy",$D$24&gt;M289),"TP",IF(AND(O289="Sell",$D$24&gt;J289),"SL",IF(AND(O289="Sell",$E$24&lt;M289),"TP","")))))</f>
        <v/>
      </c>
    </row>
    <row r="290" spans="1:24">
      <c r="A290" s="125" t="n">
        <v>264</v>
      </c>
      <c r="B290" s="137" t="n"/>
      <c r="G290" s="122" t="n"/>
      <c r="H290" s="122" t="n"/>
      <c r="I290" s="122" t="n"/>
      <c r="K290" s="133" t="n"/>
      <c r="N290" s="133" t="n"/>
      <c r="S290" s="154">
        <f>IF(P290="","",IF(P290="L",ABS((M290-L290)/(L290-J290)),IF(P290="S",ABS((L290-M290)/(J290-L290)),"")))</f>
        <v/>
      </c>
      <c r="V290" s="133">
        <f>IF(U290="","",IF(U290="SL",K290,IF(U290="TP",N290,"")))</f>
        <v/>
      </c>
      <c r="X290" s="125">
        <f>IF(O290="","",IF(AND(O290="Buy",$E$24&lt;J290),"SL",IF(AND(O290="Buy",$D$24&gt;M290),"TP",IF(AND(O290="Sell",$D$24&gt;J290),"SL",IF(AND(O290="Sell",$E$24&lt;M290),"TP","")))))</f>
        <v/>
      </c>
    </row>
    <row r="291" spans="1:24">
      <c r="A291" s="125" t="n">
        <v>265</v>
      </c>
      <c r="B291" s="137" t="n"/>
      <c r="G291" s="122" t="n"/>
      <c r="H291" s="122" t="n"/>
      <c r="I291" s="122" t="n"/>
      <c r="K291" s="133" t="n"/>
      <c r="N291" s="133" t="n"/>
      <c r="S291" s="154">
        <f>IF(P291="","",IF(P291="L",ABS((M291-L291)/(L291-J291)),IF(P291="S",ABS((L291-M291)/(J291-L291)),"")))</f>
        <v/>
      </c>
      <c r="V291" s="133">
        <f>IF(U291="","",IF(U291="SL",K291,IF(U291="TP",N291,"")))</f>
        <v/>
      </c>
      <c r="X291" s="125">
        <f>IF(O291="","",IF(AND(O291="Buy",$E$24&lt;J291),"SL",IF(AND(O291="Buy",$D$24&gt;M291),"TP",IF(AND(O291="Sell",$D$24&gt;J291),"SL",IF(AND(O291="Sell",$E$24&lt;M291),"TP","")))))</f>
        <v/>
      </c>
    </row>
    <row r="292" spans="1:24">
      <c r="A292" s="125" t="n">
        <v>266</v>
      </c>
      <c r="B292" s="137" t="n"/>
      <c r="G292" s="122" t="n"/>
      <c r="H292" s="122" t="n"/>
      <c r="I292" s="122" t="n"/>
      <c r="K292" s="133" t="n"/>
      <c r="N292" s="133" t="n"/>
      <c r="S292" s="154">
        <f>IF(P292="","",IF(P292="L",ABS((M292-L292)/(L292-J292)),IF(P292="S",ABS((L292-M292)/(J292-L292)),"")))</f>
        <v/>
      </c>
      <c r="V292" s="133">
        <f>IF(U292="","",IF(U292="SL",K292,IF(U292="TP",N292,"")))</f>
        <v/>
      </c>
      <c r="X292" s="125">
        <f>IF(O292="","",IF(AND(O292="Buy",$E$24&lt;J292),"SL",IF(AND(O292="Buy",$D$24&gt;M292),"TP",IF(AND(O292="Sell",$D$24&gt;J292),"SL",IF(AND(O292="Sell",$E$24&lt;M292),"TP","")))))</f>
        <v/>
      </c>
    </row>
    <row r="293" spans="1:24">
      <c r="A293" s="125" t="n">
        <v>267</v>
      </c>
      <c r="B293" s="137" t="n"/>
      <c r="G293" s="122" t="n"/>
      <c r="H293" s="122" t="n"/>
      <c r="I293" s="122" t="n"/>
      <c r="K293" s="133" t="n"/>
      <c r="N293" s="133" t="n"/>
      <c r="S293" s="154">
        <f>IF(P293="","",IF(P293="L",ABS((M293-L293)/(L293-J293)),IF(P293="S",ABS((L293-M293)/(J293-L293)),"")))</f>
        <v/>
      </c>
      <c r="V293" s="133">
        <f>IF(U293="","",IF(U293="SL",K293,IF(U293="TP",N293,"")))</f>
        <v/>
      </c>
      <c r="X293" s="125">
        <f>IF(O293="","",IF(AND(O293="Buy",$E$24&lt;J293),"SL",IF(AND(O293="Buy",$D$24&gt;M293),"TP",IF(AND(O293="Sell",$D$24&gt;J293),"SL",IF(AND(O293="Sell",$E$24&lt;M293),"TP","")))))</f>
        <v/>
      </c>
    </row>
    <row r="294" spans="1:24">
      <c r="A294" s="125" t="n">
        <v>268</v>
      </c>
      <c r="B294" s="137" t="n"/>
      <c r="G294" s="122" t="n"/>
      <c r="H294" s="122" t="n"/>
      <c r="I294" s="122" t="n"/>
      <c r="K294" s="133" t="n"/>
      <c r="N294" s="133" t="n"/>
      <c r="S294" s="154">
        <f>IF(P294="","",IF(P294="L",ABS((M294-L294)/(L294-J294)),IF(P294="S",ABS((L294-M294)/(J294-L294)),"")))</f>
        <v/>
      </c>
      <c r="V294" s="133">
        <f>IF(U294="","",IF(U294="SL",K294,IF(U294="TP",N294,"")))</f>
        <v/>
      </c>
      <c r="X294" s="125">
        <f>IF(O294="","",IF(AND(O294="Buy",$E$24&lt;J294),"SL",IF(AND(O294="Buy",$D$24&gt;M294),"TP",IF(AND(O294="Sell",$D$24&gt;J294),"SL",IF(AND(O294="Sell",$E$24&lt;M294),"TP","")))))</f>
        <v/>
      </c>
    </row>
    <row r="295" spans="1:24">
      <c r="A295" s="125" t="n">
        <v>269</v>
      </c>
      <c r="B295" s="137" t="n"/>
      <c r="G295" s="122" t="n"/>
      <c r="H295" s="122" t="n"/>
      <c r="I295" s="122" t="n"/>
      <c r="K295" s="133" t="n"/>
      <c r="N295" s="133" t="n"/>
      <c r="S295" s="154">
        <f>IF(P295="","",IF(P295="L",ABS((M295-L295)/(L295-J295)),IF(P295="S",ABS((L295-M295)/(J295-L295)),"")))</f>
        <v/>
      </c>
      <c r="V295" s="133">
        <f>IF(U295="","",IF(U295="SL",K295,IF(U295="TP",N295,"")))</f>
        <v/>
      </c>
      <c r="X295" s="125">
        <f>IF(O295="","",IF(AND(O295="Buy",$E$24&lt;J295),"SL",IF(AND(O295="Buy",$D$24&gt;M295),"TP",IF(AND(O295="Sell",$D$24&gt;J295),"SL",IF(AND(O295="Sell",$E$24&lt;M295),"TP","")))))</f>
        <v/>
      </c>
    </row>
    <row r="296" spans="1:24">
      <c r="A296" s="125" t="n">
        <v>270</v>
      </c>
      <c r="B296" s="137" t="n"/>
      <c r="G296" s="122" t="n"/>
      <c r="H296" s="122" t="n"/>
      <c r="I296" s="122" t="n"/>
      <c r="K296" s="133" t="n"/>
      <c r="N296" s="133" t="n"/>
      <c r="S296" s="154">
        <f>IF(P296="","",IF(P296="L",ABS((M296-L296)/(L296-J296)),IF(P296="S",ABS((L296-M296)/(J296-L296)),"")))</f>
        <v/>
      </c>
      <c r="V296" s="133">
        <f>IF(U296="","",IF(U296="SL",K296,IF(U296="TP",N296,"")))</f>
        <v/>
      </c>
      <c r="X296" s="125">
        <f>IF(O296="","",IF(AND(O296="Buy",$E$24&lt;J296),"SL",IF(AND(O296="Buy",$D$24&gt;M296),"TP",IF(AND(O296="Sell",$D$24&gt;J296),"SL",IF(AND(O296="Sell",$E$24&lt;M296),"TP","")))))</f>
        <v/>
      </c>
    </row>
    <row r="297" spans="1:24">
      <c r="A297" s="125" t="n">
        <v>271</v>
      </c>
      <c r="B297" s="137" t="n"/>
      <c r="G297" s="122" t="n"/>
      <c r="H297" s="122" t="n"/>
      <c r="I297" s="122" t="n"/>
      <c r="K297" s="133" t="n"/>
      <c r="N297" s="133" t="n"/>
      <c r="S297" s="154">
        <f>IF(P297="","",IF(P297="L",ABS((M297-L297)/(L297-J297)),IF(P297="S",ABS((L297-M297)/(J297-L297)),"")))</f>
        <v/>
      </c>
      <c r="V297" s="133">
        <f>IF(U297="","",IF(U297="SL",K297,IF(U297="TP",N297,"")))</f>
        <v/>
      </c>
      <c r="X297" s="125">
        <f>IF(O297="","",IF(AND(O297="Buy",$E$24&lt;J297),"SL",IF(AND(O297="Buy",$D$24&gt;M297),"TP",IF(AND(O297="Sell",$D$24&gt;J297),"SL",IF(AND(O297="Sell",$E$24&lt;M297),"TP","")))))</f>
        <v/>
      </c>
    </row>
    <row r="298" spans="1:24">
      <c r="A298" s="125" t="n">
        <v>272</v>
      </c>
      <c r="B298" s="137" t="n"/>
      <c r="G298" s="122" t="n"/>
      <c r="H298" s="122" t="n"/>
      <c r="I298" s="122" t="n"/>
      <c r="K298" s="133" t="n"/>
      <c r="N298" s="133" t="n"/>
      <c r="S298" s="154">
        <f>IF(P298="","",IF(P298="L",ABS((M298-L298)/(L298-J298)),IF(P298="S",ABS((L298-M298)/(J298-L298)),"")))</f>
        <v/>
      </c>
      <c r="V298" s="133">
        <f>IF(U298="","",IF(U298="SL",K298,IF(U298="TP",N298,"")))</f>
        <v/>
      </c>
      <c r="X298" s="125">
        <f>IF(O298="","",IF(AND(O298="Buy",$E$24&lt;J298),"SL",IF(AND(O298="Buy",$D$24&gt;M298),"TP",IF(AND(O298="Sell",$D$24&gt;J298),"SL",IF(AND(O298="Sell",$E$24&lt;M298),"TP","")))))</f>
        <v/>
      </c>
    </row>
    <row r="299" spans="1:24">
      <c r="A299" s="125" t="n">
        <v>273</v>
      </c>
      <c r="B299" s="137" t="n"/>
      <c r="G299" s="122" t="n"/>
      <c r="H299" s="122" t="n"/>
      <c r="I299" s="122" t="n"/>
      <c r="K299" s="133" t="n"/>
      <c r="N299" s="133" t="n"/>
      <c r="S299" s="154">
        <f>IF(P299="","",IF(P299="L",ABS((M299-L299)/(L299-J299)),IF(P299="S",ABS((L299-M299)/(J299-L299)),"")))</f>
        <v/>
      </c>
      <c r="V299" s="133">
        <f>IF(U299="","",IF(U299="SL",K299,IF(U299="TP",N299,"")))</f>
        <v/>
      </c>
      <c r="X299" s="125">
        <f>IF(O299="","",IF(AND(O299="Buy",$E$24&lt;J299),"SL",IF(AND(O299="Buy",$D$24&gt;M299),"TP",IF(AND(O299="Sell",$D$24&gt;J299),"SL",IF(AND(O299="Sell",$E$24&lt;M299),"TP","")))))</f>
        <v/>
      </c>
    </row>
    <row r="300" spans="1:24">
      <c r="A300" s="125" t="n">
        <v>274</v>
      </c>
      <c r="B300" s="137" t="n"/>
      <c r="G300" s="122" t="n"/>
      <c r="H300" s="122" t="n"/>
      <c r="I300" s="122" t="n"/>
      <c r="K300" s="133" t="n"/>
      <c r="N300" s="133" t="n"/>
      <c r="S300" s="154">
        <f>IF(P300="","",IF(P300="L",ABS((M300-L300)/(L300-J300)),IF(P300="S",ABS((L300-M300)/(J300-L300)),"")))</f>
        <v/>
      </c>
      <c r="V300" s="133">
        <f>IF(U300="","",IF(U300="SL",K300,IF(U300="TP",N300,"")))</f>
        <v/>
      </c>
      <c r="X300" s="125">
        <f>IF(O300="","",IF(AND(O300="Buy",$E$24&lt;J300),"SL",IF(AND(O300="Buy",$D$24&gt;M300),"TP",IF(AND(O300="Sell",$D$24&gt;J300),"SL",IF(AND(O300="Sell",$E$24&lt;M300),"TP","")))))</f>
        <v/>
      </c>
    </row>
    <row r="301" spans="1:24">
      <c r="A301" s="125" t="n">
        <v>275</v>
      </c>
      <c r="B301" s="137" t="n"/>
      <c r="G301" s="122" t="n"/>
      <c r="H301" s="122" t="n"/>
      <c r="I301" s="122" t="n"/>
      <c r="K301" s="133" t="n"/>
      <c r="N301" s="133" t="n"/>
      <c r="S301" s="154">
        <f>IF(P301="","",IF(P301="L",ABS((M301-L301)/(L301-J301)),IF(P301="S",ABS((L301-M301)/(J301-L301)),"")))</f>
        <v/>
      </c>
      <c r="V301" s="133">
        <f>IF(U301="","",IF(U301="SL",K301,IF(U301="TP",N301,"")))</f>
        <v/>
      </c>
      <c r="X301" s="125">
        <f>IF(O301="","",IF(AND(O301="Buy",$E$24&lt;J301),"SL",IF(AND(O301="Buy",$D$24&gt;M301),"TP",IF(AND(O301="Sell",$D$24&gt;J301),"SL",IF(AND(O301="Sell",$E$24&lt;M301),"TP","")))))</f>
        <v/>
      </c>
    </row>
    <row r="302" spans="1:24">
      <c r="A302" s="125" t="n">
        <v>276</v>
      </c>
      <c r="B302" s="137" t="n"/>
      <c r="G302" s="122" t="n"/>
      <c r="H302" s="122" t="n"/>
      <c r="I302" s="122" t="n"/>
      <c r="K302" s="133" t="n"/>
      <c r="N302" s="133" t="n"/>
      <c r="S302" s="154">
        <f>IF(P302="","",IF(P302="L",ABS((M302-L302)/(L302-J302)),IF(P302="S",ABS((L302-M302)/(J302-L302)),"")))</f>
        <v/>
      </c>
      <c r="V302" s="133">
        <f>IF(U302="","",IF(U302="SL",K302,IF(U302="TP",N302,"")))</f>
        <v/>
      </c>
      <c r="X302" s="125">
        <f>IF(O302="","",IF(AND(O302="Buy",$E$24&lt;J302),"SL",IF(AND(O302="Buy",$D$24&gt;M302),"TP",IF(AND(O302="Sell",$D$24&gt;J302),"SL",IF(AND(O302="Sell",$E$24&lt;M302),"TP","")))))</f>
        <v/>
      </c>
    </row>
    <row r="303" spans="1:24">
      <c r="A303" s="125" t="n">
        <v>277</v>
      </c>
      <c r="B303" s="137" t="n"/>
      <c r="G303" s="122" t="n"/>
      <c r="H303" s="122" t="n"/>
      <c r="I303" s="122" t="n"/>
      <c r="K303" s="133" t="n"/>
      <c r="N303" s="133" t="n"/>
      <c r="S303" s="154">
        <f>IF(P303="","",IF(P303="L",ABS((M303-L303)/(L303-J303)),IF(P303="S",ABS((L303-M303)/(J303-L303)),"")))</f>
        <v/>
      </c>
      <c r="V303" s="133">
        <f>IF(U303="","",IF(U303="SL",K303,IF(U303="TP",N303,"")))</f>
        <v/>
      </c>
      <c r="X303" s="125">
        <f>IF(O303="","",IF(AND(O303="Buy",$E$24&lt;J303),"SL",IF(AND(O303="Buy",$D$24&gt;M303),"TP",IF(AND(O303="Sell",$D$24&gt;J303),"SL",IF(AND(O303="Sell",$E$24&lt;M303),"TP","")))))</f>
        <v/>
      </c>
    </row>
    <row r="304" spans="1:24">
      <c r="A304" s="125" t="n">
        <v>278</v>
      </c>
      <c r="B304" s="137" t="n"/>
      <c r="G304" s="122" t="n"/>
      <c r="H304" s="122" t="n"/>
      <c r="I304" s="122" t="n"/>
      <c r="K304" s="133" t="n"/>
      <c r="N304" s="133" t="n"/>
      <c r="S304" s="154">
        <f>IF(P304="","",IF(P304="L",ABS((M304-L304)/(L304-J304)),IF(P304="S",ABS((L304-M304)/(J304-L304)),"")))</f>
        <v/>
      </c>
      <c r="V304" s="133">
        <f>IF(U304="","",IF(U304="SL",K304,IF(U304="TP",N304,"")))</f>
        <v/>
      </c>
      <c r="X304" s="125">
        <f>IF(O304="","",IF(AND(O304="Buy",$E$24&lt;J304),"SL",IF(AND(O304="Buy",$D$24&gt;M304),"TP",IF(AND(O304="Sell",$D$24&gt;J304),"SL",IF(AND(O304="Sell",$E$24&lt;M304),"TP","")))))</f>
        <v/>
      </c>
    </row>
    <row r="305" spans="1:24">
      <c r="A305" s="125" t="n">
        <v>279</v>
      </c>
      <c r="B305" s="137" t="n"/>
      <c r="G305" s="122" t="n"/>
      <c r="H305" s="122" t="n"/>
      <c r="I305" s="122" t="n"/>
      <c r="K305" s="133" t="n"/>
      <c r="N305" s="133" t="n"/>
      <c r="S305" s="154">
        <f>IF(P305="","",IF(P305="L",ABS((M305-L305)/(L305-J305)),IF(P305="S",ABS((L305-M305)/(J305-L305)),"")))</f>
        <v/>
      </c>
      <c r="V305" s="133">
        <f>IF(U305="","",IF(U305="SL",K305,IF(U305="TP",N305,"")))</f>
        <v/>
      </c>
      <c r="X305" s="125">
        <f>IF(O305="","",IF(AND(O305="Buy",$E$24&lt;J305),"SL",IF(AND(O305="Buy",$D$24&gt;M305),"TP",IF(AND(O305="Sell",$D$24&gt;J305),"SL",IF(AND(O305="Sell",$E$24&lt;M305),"TP","")))))</f>
        <v/>
      </c>
    </row>
    <row r="306" spans="1:24">
      <c r="A306" s="125" t="n">
        <v>280</v>
      </c>
      <c r="B306" s="137" t="n"/>
      <c r="G306" s="122" t="n"/>
      <c r="H306" s="122" t="n"/>
      <c r="I306" s="122" t="n"/>
      <c r="K306" s="133" t="n"/>
      <c r="N306" s="133" t="n"/>
      <c r="S306" s="154">
        <f>IF(P306="","",IF(P306="L",ABS((M306-L306)/(L306-J306)),IF(P306="S",ABS((L306-M306)/(J306-L306)),"")))</f>
        <v/>
      </c>
      <c r="V306" s="133">
        <f>IF(U306="","",IF(U306="SL",K306,IF(U306="TP",N306,"")))</f>
        <v/>
      </c>
      <c r="X306" s="125">
        <f>IF(O306="","",IF(AND(O306="Buy",$E$24&lt;J306),"SL",IF(AND(O306="Buy",$D$24&gt;M306),"TP",IF(AND(O306="Sell",$D$24&gt;J306),"SL",IF(AND(O306="Sell",$E$24&lt;M306),"TP","")))))</f>
        <v/>
      </c>
    </row>
    <row r="307" spans="1:24">
      <c r="A307" s="125" t="n">
        <v>281</v>
      </c>
      <c r="B307" s="137" t="n"/>
      <c r="G307" s="122" t="n"/>
      <c r="H307" s="122" t="n"/>
      <c r="I307" s="122" t="n"/>
      <c r="K307" s="133" t="n"/>
      <c r="N307" s="133" t="n"/>
      <c r="S307" s="154">
        <f>IF(P307="","",IF(P307="L",ABS((M307-L307)/(L307-J307)),IF(P307="S",ABS((L307-M307)/(J307-L307)),"")))</f>
        <v/>
      </c>
      <c r="V307" s="133">
        <f>IF(U307="","",IF(U307="SL",K307,IF(U307="TP",N307,"")))</f>
        <v/>
      </c>
      <c r="X307" s="125">
        <f>IF(O307="","",IF(AND(O307="Buy",$E$24&lt;J307),"SL",IF(AND(O307="Buy",$D$24&gt;M307),"TP",IF(AND(O307="Sell",$D$24&gt;J307),"SL",IF(AND(O307="Sell",$E$24&lt;M307),"TP","")))))</f>
        <v/>
      </c>
    </row>
    <row r="308" spans="1:24">
      <c r="A308" s="125" t="n">
        <v>282</v>
      </c>
      <c r="B308" s="137" t="n"/>
      <c r="G308" s="122" t="n"/>
      <c r="H308" s="122" t="n"/>
      <c r="I308" s="122" t="n"/>
      <c r="K308" s="133" t="n"/>
      <c r="N308" s="133" t="n"/>
      <c r="S308" s="154">
        <f>IF(P308="","",IF(P308="L",ABS((M308-L308)/(L308-J308)),IF(P308="S",ABS((L308-M308)/(J308-L308)),"")))</f>
        <v/>
      </c>
      <c r="V308" s="133">
        <f>IF(U308="","",IF(U308="SL",K308,IF(U308="TP",N308,"")))</f>
        <v/>
      </c>
      <c r="X308" s="125">
        <f>IF(O308="","",IF(AND(O308="Buy",$E$24&lt;J308),"SL",IF(AND(O308="Buy",$D$24&gt;M308),"TP",IF(AND(O308="Sell",$D$24&gt;J308),"SL",IF(AND(O308="Sell",$E$24&lt;M308),"TP","")))))</f>
        <v/>
      </c>
    </row>
    <row r="309" spans="1:24">
      <c r="A309" s="125" t="n">
        <v>283</v>
      </c>
      <c r="B309" s="137" t="n"/>
      <c r="G309" s="122" t="n"/>
      <c r="H309" s="122" t="n"/>
      <c r="I309" s="122" t="n"/>
      <c r="K309" s="133" t="n"/>
      <c r="N309" s="133" t="n"/>
      <c r="S309" s="154">
        <f>IF(P309="","",IF(P309="L",ABS((M309-L309)/(L309-J309)),IF(P309="S",ABS((L309-M309)/(J309-L309)),"")))</f>
        <v/>
      </c>
      <c r="V309" s="133">
        <f>IF(U309="","",IF(U309="SL",K309,IF(U309="TP",N309,"")))</f>
        <v/>
      </c>
      <c r="X309" s="125">
        <f>IF(O309="","",IF(AND(O309="Buy",$E$24&lt;J309),"SL",IF(AND(O309="Buy",$D$24&gt;M309),"TP",IF(AND(O309="Sell",$D$24&gt;J309),"SL",IF(AND(O309="Sell",$E$24&lt;M309),"TP","")))))</f>
        <v/>
      </c>
    </row>
    <row r="310" spans="1:24">
      <c r="A310" s="125" t="n">
        <v>284</v>
      </c>
      <c r="B310" s="137" t="n"/>
      <c r="G310" s="122" t="n"/>
      <c r="H310" s="122" t="n"/>
      <c r="I310" s="122" t="n"/>
      <c r="K310" s="133" t="n"/>
      <c r="N310" s="133" t="n"/>
      <c r="S310" s="154">
        <f>IF(P310="","",IF(P310="L",ABS((M310-L310)/(L310-J310)),IF(P310="S",ABS((L310-M310)/(J310-L310)),"")))</f>
        <v/>
      </c>
      <c r="V310" s="133">
        <f>IF(U310="","",IF(U310="SL",K310,IF(U310="TP",N310,"")))</f>
        <v/>
      </c>
      <c r="X310" s="125">
        <f>IF(O310="","",IF(AND(O310="Buy",$E$24&lt;J310),"SL",IF(AND(O310="Buy",$D$24&gt;M310),"TP",IF(AND(O310="Sell",$D$24&gt;J310),"SL",IF(AND(O310="Sell",$E$24&lt;M310),"TP","")))))</f>
        <v/>
      </c>
    </row>
    <row r="311" spans="1:24">
      <c r="A311" s="125" t="n">
        <v>285</v>
      </c>
      <c r="B311" s="137" t="n"/>
      <c r="G311" s="122" t="n"/>
      <c r="H311" s="122" t="n"/>
      <c r="I311" s="122" t="n"/>
      <c r="K311" s="133" t="n"/>
      <c r="N311" s="133" t="n"/>
      <c r="S311" s="154">
        <f>IF(P311="","",IF(P311="L",ABS((M311-L311)/(L311-J311)),IF(P311="S",ABS((L311-M311)/(J311-L311)),"")))</f>
        <v/>
      </c>
      <c r="V311" s="133">
        <f>IF(U311="","",IF(U311="SL",K311,IF(U311="TP",N311,"")))</f>
        <v/>
      </c>
      <c r="X311" s="125">
        <f>IF(O311="","",IF(AND(O311="Buy",$E$24&lt;J311),"SL",IF(AND(O311="Buy",$D$24&gt;M311),"TP",IF(AND(O311="Sell",$D$24&gt;J311),"SL",IF(AND(O311="Sell",$E$24&lt;M311),"TP","")))))</f>
        <v/>
      </c>
    </row>
    <row r="312" spans="1:24">
      <c r="A312" s="125" t="n">
        <v>286</v>
      </c>
      <c r="B312" s="137" t="n"/>
      <c r="G312" s="122" t="n"/>
      <c r="H312" s="122" t="n"/>
      <c r="I312" s="122" t="n"/>
      <c r="K312" s="133" t="n"/>
      <c r="N312" s="133" t="n"/>
      <c r="S312" s="154">
        <f>IF(P312="","",IF(P312="L",ABS((M312-L312)/(L312-J312)),IF(P312="S",ABS((L312-M312)/(J312-L312)),"")))</f>
        <v/>
      </c>
      <c r="V312" s="133">
        <f>IF(U312="","",IF(U312="SL",K312,IF(U312="TP",N312,"")))</f>
        <v/>
      </c>
      <c r="X312" s="125">
        <f>IF(O312="","",IF(AND(O312="Buy",$E$24&lt;J312),"SL",IF(AND(O312="Buy",$D$24&gt;M312),"TP",IF(AND(O312="Sell",$D$24&gt;J312),"SL",IF(AND(O312="Sell",$E$24&lt;M312),"TP","")))))</f>
        <v/>
      </c>
    </row>
    <row r="313" spans="1:24">
      <c r="A313" s="125" t="n">
        <v>287</v>
      </c>
      <c r="B313" s="137" t="n"/>
      <c r="G313" s="122" t="n"/>
      <c r="H313" s="122" t="n"/>
      <c r="I313" s="122" t="n"/>
      <c r="K313" s="133" t="n"/>
      <c r="N313" s="133" t="n"/>
      <c r="S313" s="154">
        <f>IF(P313="","",IF(P313="L",ABS((M313-L313)/(L313-J313)),IF(P313="S",ABS((L313-M313)/(J313-L313)),"")))</f>
        <v/>
      </c>
      <c r="V313" s="133">
        <f>IF(U313="","",IF(U313="SL",K313,IF(U313="TP",N313,"")))</f>
        <v/>
      </c>
      <c r="X313" s="125">
        <f>IF(O313="","",IF(AND(O313="Buy",$E$24&lt;J313),"SL",IF(AND(O313="Buy",$D$24&gt;M313),"TP",IF(AND(O313="Sell",$D$24&gt;J313),"SL",IF(AND(O313="Sell",$E$24&lt;M313),"TP","")))))</f>
        <v/>
      </c>
    </row>
    <row r="314" spans="1:24">
      <c r="A314" s="125" t="n">
        <v>288</v>
      </c>
      <c r="B314" s="137" t="n"/>
      <c r="G314" s="122" t="n"/>
      <c r="H314" s="122" t="n"/>
      <c r="I314" s="122" t="n"/>
      <c r="K314" s="133" t="n"/>
      <c r="N314" s="133" t="n"/>
      <c r="S314" s="154">
        <f>IF(P314="","",IF(P314="L",ABS((M314-L314)/(L314-J314)),IF(P314="S",ABS((L314-M314)/(J314-L314)),"")))</f>
        <v/>
      </c>
      <c r="V314" s="133">
        <f>IF(U314="","",IF(U314="SL",K314,IF(U314="TP",N314,"")))</f>
        <v/>
      </c>
      <c r="X314" s="125">
        <f>IF(O314="","",IF(AND(O314="Buy",$E$24&lt;J314),"SL",IF(AND(O314="Buy",$D$24&gt;M314),"TP",IF(AND(O314="Sell",$D$24&gt;J314),"SL",IF(AND(O314="Sell",$E$24&lt;M314),"TP","")))))</f>
        <v/>
      </c>
    </row>
    <row r="315" spans="1:24">
      <c r="A315" s="125" t="n">
        <v>289</v>
      </c>
      <c r="B315" s="137" t="n"/>
      <c r="G315" s="122" t="n"/>
      <c r="H315" s="122" t="n"/>
      <c r="I315" s="122" t="n"/>
      <c r="K315" s="133" t="n"/>
      <c r="N315" s="133" t="n"/>
      <c r="S315" s="154">
        <f>IF(P315="","",IF(P315="L",ABS((M315-L315)/(L315-J315)),IF(P315="S",ABS((L315-M315)/(J315-L315)),"")))</f>
        <v/>
      </c>
      <c r="V315" s="133">
        <f>IF(U315="","",IF(U315="SL",K315,IF(U315="TP",N315,"")))</f>
        <v/>
      </c>
      <c r="X315" s="125">
        <f>IF(O315="","",IF(AND(O315="Buy",$E$24&lt;J315),"SL",IF(AND(O315="Buy",$D$24&gt;M315),"TP",IF(AND(O315="Sell",$D$24&gt;J315),"SL",IF(AND(O315="Sell",$E$24&lt;M315),"TP","")))))</f>
        <v/>
      </c>
    </row>
    <row r="316" spans="1:24">
      <c r="A316" s="125" t="n">
        <v>290</v>
      </c>
      <c r="B316" s="137" t="n"/>
      <c r="G316" s="122" t="n"/>
      <c r="H316" s="122" t="n"/>
      <c r="I316" s="122" t="n"/>
      <c r="K316" s="133" t="n"/>
      <c r="N316" s="133" t="n"/>
      <c r="S316" s="154">
        <f>IF(P316="","",IF(P316="L",ABS((M316-L316)/(L316-J316)),IF(P316="S",ABS((L316-M316)/(J316-L316)),"")))</f>
        <v/>
      </c>
      <c r="V316" s="133">
        <f>IF(U316="","",IF(U316="SL",K316,IF(U316="TP",N316,"")))</f>
        <v/>
      </c>
      <c r="X316" s="125">
        <f>IF(O316="","",IF(AND(O316="Buy",$E$24&lt;J316),"SL",IF(AND(O316="Buy",$D$24&gt;M316),"TP",IF(AND(O316="Sell",$D$24&gt;J316),"SL",IF(AND(O316="Sell",$E$24&lt;M316),"TP","")))))</f>
        <v/>
      </c>
    </row>
    <row r="317" spans="1:24">
      <c r="A317" s="125" t="n">
        <v>291</v>
      </c>
      <c r="B317" s="137" t="n"/>
      <c r="G317" s="122" t="n"/>
      <c r="H317" s="122" t="n"/>
      <c r="I317" s="122" t="n"/>
      <c r="K317" s="133" t="n"/>
      <c r="N317" s="133" t="n"/>
      <c r="S317" s="154">
        <f>IF(P317="","",IF(P317="L",ABS((M317-L317)/(L317-J317)),IF(P317="S",ABS((L317-M317)/(J317-L317)),"")))</f>
        <v/>
      </c>
      <c r="V317" s="133">
        <f>IF(U317="","",IF(U317="SL",K317,IF(U317="TP",N317,"")))</f>
        <v/>
      </c>
      <c r="X317" s="125">
        <f>IF(O317="","",IF(AND(O317="Buy",$E$24&lt;J317),"SL",IF(AND(O317="Buy",$D$24&gt;M317),"TP",IF(AND(O317="Sell",$D$24&gt;J317),"SL",IF(AND(O317="Sell",$E$24&lt;M317),"TP","")))))</f>
        <v/>
      </c>
    </row>
    <row r="318" spans="1:24">
      <c r="A318" s="125" t="n">
        <v>292</v>
      </c>
      <c r="B318" s="137" t="n"/>
      <c r="G318" s="122" t="n"/>
      <c r="H318" s="122" t="n"/>
      <c r="I318" s="122" t="n"/>
      <c r="K318" s="133" t="n"/>
      <c r="N318" s="133" t="n"/>
      <c r="S318" s="154">
        <f>IF(P318="","",IF(P318="L",ABS((M318-L318)/(L318-J318)),IF(P318="S",ABS((L318-M318)/(J318-L318)),"")))</f>
        <v/>
      </c>
      <c r="V318" s="133">
        <f>IF(U318="","",IF(U318="SL",K318,IF(U318="TP",N318,"")))</f>
        <v/>
      </c>
      <c r="X318" s="125">
        <f>IF(O318="","",IF(AND(O318="Buy",$E$24&lt;J318),"SL",IF(AND(O318="Buy",$D$24&gt;M318),"TP",IF(AND(O318="Sell",$D$24&gt;J318),"SL",IF(AND(O318="Sell",$E$24&lt;M318),"TP","")))))</f>
        <v/>
      </c>
    </row>
    <row r="319" spans="1:24">
      <c r="A319" s="125" t="n">
        <v>293</v>
      </c>
      <c r="B319" s="137" t="n"/>
      <c r="G319" s="122" t="n"/>
      <c r="H319" s="122" t="n"/>
      <c r="I319" s="122" t="n"/>
      <c r="K319" s="133" t="n"/>
      <c r="N319" s="133" t="n"/>
      <c r="S319" s="154">
        <f>IF(P319="","",IF(P319="L",ABS((M319-L319)/(L319-J319)),IF(P319="S",ABS((L319-M319)/(J319-L319)),"")))</f>
        <v/>
      </c>
      <c r="V319" s="133">
        <f>IF(U319="","",IF(U319="SL",K319,IF(U319="TP",N319,"")))</f>
        <v/>
      </c>
      <c r="X319" s="125">
        <f>IF(O319="","",IF(AND(O319="Buy",$E$24&lt;J319),"SL",IF(AND(O319="Buy",$D$24&gt;M319),"TP",IF(AND(O319="Sell",$D$24&gt;J319),"SL",IF(AND(O319="Sell",$E$24&lt;M319),"TP","")))))</f>
        <v/>
      </c>
    </row>
    <row r="320" spans="1:24">
      <c r="A320" s="125" t="n">
        <v>294</v>
      </c>
      <c r="B320" s="137" t="n"/>
      <c r="G320" s="122" t="n"/>
      <c r="H320" s="122" t="n"/>
      <c r="I320" s="122" t="n"/>
      <c r="K320" s="133" t="n"/>
      <c r="N320" s="133" t="n"/>
      <c r="S320" s="154">
        <f>IF(P320="","",IF(P320="L",ABS((M320-L320)/(L320-J320)),IF(P320="S",ABS((L320-M320)/(J320-L320)),"")))</f>
        <v/>
      </c>
      <c r="V320" s="133">
        <f>IF(U320="","",IF(U320="SL",K320,IF(U320="TP",N320,"")))</f>
        <v/>
      </c>
      <c r="X320" s="125">
        <f>IF(O320="","",IF(AND(O320="Buy",$E$24&lt;J320),"SL",IF(AND(O320="Buy",$D$24&gt;M320),"TP",IF(AND(O320="Sell",$D$24&gt;J320),"SL",IF(AND(O320="Sell",$E$24&lt;M320),"TP","")))))</f>
        <v/>
      </c>
    </row>
    <row r="321" spans="1:24">
      <c r="A321" s="125" t="n">
        <v>295</v>
      </c>
      <c r="B321" s="137" t="n"/>
      <c r="G321" s="122" t="n"/>
      <c r="H321" s="122" t="n"/>
      <c r="I321" s="122" t="n"/>
      <c r="K321" s="133" t="n"/>
      <c r="N321" s="133" t="n"/>
      <c r="S321" s="154">
        <f>IF(P321="","",IF(P321="L",ABS((M321-L321)/(L321-J321)),IF(P321="S",ABS((L321-M321)/(J321-L321)),"")))</f>
        <v/>
      </c>
      <c r="V321" s="133">
        <f>IF(U321="","",IF(U321="SL",K321,IF(U321="TP",N321,"")))</f>
        <v/>
      </c>
      <c r="X321" s="125">
        <f>IF(O321="","",IF(AND(O321="Buy",$E$24&lt;J321),"SL",IF(AND(O321="Buy",$D$24&gt;M321),"TP",IF(AND(O321="Sell",$D$24&gt;J321),"SL",IF(AND(O321="Sell",$E$24&lt;M321),"TP","")))))</f>
        <v/>
      </c>
    </row>
    <row r="322" spans="1:24">
      <c r="A322" s="125" t="n">
        <v>296</v>
      </c>
      <c r="B322" s="137" t="n"/>
      <c r="G322" s="122" t="n"/>
      <c r="H322" s="122" t="n"/>
      <c r="I322" s="122" t="n"/>
      <c r="K322" s="133" t="n"/>
      <c r="N322" s="133" t="n"/>
      <c r="S322" s="154">
        <f>IF(P322="","",IF(P322="L",ABS((M322-L322)/(L322-J322)),IF(P322="S",ABS((L322-M322)/(J322-L322)),"")))</f>
        <v/>
      </c>
      <c r="V322" s="133">
        <f>IF(U322="","",IF(U322="SL",K322,IF(U322="TP",N322,"")))</f>
        <v/>
      </c>
      <c r="X322" s="125">
        <f>IF(O322="","",IF(AND(O322="Buy",$E$24&lt;J322),"SL",IF(AND(O322="Buy",$D$24&gt;M322),"TP",IF(AND(O322="Sell",$D$24&gt;J322),"SL",IF(AND(O322="Sell",$E$24&lt;M322),"TP","")))))</f>
        <v/>
      </c>
    </row>
    <row r="323" spans="1:24">
      <c r="A323" s="125" t="n">
        <v>297</v>
      </c>
      <c r="B323" s="137" t="n"/>
      <c r="G323" s="122" t="n"/>
      <c r="H323" s="122" t="n"/>
      <c r="I323" s="122" t="n"/>
      <c r="K323" s="133" t="n"/>
      <c r="N323" s="133" t="n"/>
      <c r="S323" s="154">
        <f>IF(P323="","",IF(P323="L",ABS((M323-L323)/(L323-J323)),IF(P323="S",ABS((L323-M323)/(J323-L323)),"")))</f>
        <v/>
      </c>
      <c r="V323" s="133">
        <f>IF(U323="","",IF(U323="SL",K323,IF(U323="TP",N323,"")))</f>
        <v/>
      </c>
      <c r="X323" s="125">
        <f>IF(O323="","",IF(AND(O323="Buy",$E$24&lt;J323),"SL",IF(AND(O323="Buy",$D$24&gt;M323),"TP",IF(AND(O323="Sell",$D$24&gt;J323),"SL",IF(AND(O323="Sell",$E$24&lt;M323),"TP","")))))</f>
        <v/>
      </c>
    </row>
    <row r="324" spans="1:24">
      <c r="A324" s="125" t="n">
        <v>298</v>
      </c>
      <c r="B324" s="137" t="n"/>
      <c r="G324" s="122" t="n"/>
      <c r="H324" s="122" t="n"/>
      <c r="I324" s="122" t="n"/>
      <c r="K324" s="133" t="n"/>
      <c r="N324" s="133" t="n"/>
      <c r="S324" s="154">
        <f>IF(P324="","",IF(P324="L",ABS((M324-L324)/(L324-J324)),IF(P324="S",ABS((L324-M324)/(J324-L324)),"")))</f>
        <v/>
      </c>
      <c r="V324" s="133">
        <f>IF(U324="","",IF(U324="SL",K324,IF(U324="TP",N324,"")))</f>
        <v/>
      </c>
      <c r="X324" s="125">
        <f>IF(O324="","",IF(AND(O324="Buy",$E$24&lt;J324),"SL",IF(AND(O324="Buy",$D$24&gt;M324),"TP",IF(AND(O324="Sell",$D$24&gt;J324),"SL",IF(AND(O324="Sell",$E$24&lt;M324),"TP","")))))</f>
        <v/>
      </c>
    </row>
    <row r="325" spans="1:24">
      <c r="A325" s="125" t="n">
        <v>299</v>
      </c>
      <c r="B325" s="137" t="n"/>
      <c r="G325" s="122" t="n"/>
      <c r="H325" s="122" t="n"/>
      <c r="I325" s="122" t="n"/>
      <c r="K325" s="133" t="n"/>
      <c r="N325" s="133" t="n"/>
      <c r="S325" s="154">
        <f>IF(P325="","",IF(P325="L",ABS((M325-L325)/(L325-J325)),IF(P325="S",ABS((L325-M325)/(J325-L325)),"")))</f>
        <v/>
      </c>
      <c r="V325" s="133">
        <f>IF(U325="","",IF(U325="SL",K325,IF(U325="TP",N325,"")))</f>
        <v/>
      </c>
      <c r="X325" s="125">
        <f>IF(O325="","",IF(AND(O325="Buy",$E$24&lt;J325),"SL",IF(AND(O325="Buy",$D$24&gt;M325),"TP",IF(AND(O325="Sell",$D$24&gt;J325),"SL",IF(AND(O325="Sell",$E$24&lt;M325),"TP","")))))</f>
        <v/>
      </c>
    </row>
    <row r="326" spans="1:24">
      <c r="A326" s="125" t="n">
        <v>300</v>
      </c>
      <c r="B326" s="137" t="n"/>
      <c r="G326" s="122" t="n"/>
      <c r="H326" s="122" t="n"/>
      <c r="I326" s="122" t="n"/>
      <c r="K326" s="133" t="n"/>
      <c r="N326" s="133" t="n"/>
      <c r="S326" s="154">
        <f>IF(P326="","",IF(P326="L",ABS((M326-L326)/(L326-J326)),IF(P326="S",ABS((L326-M326)/(J326-L326)),"")))</f>
        <v/>
      </c>
      <c r="V326" s="133">
        <f>IF(U326="","",IF(U326="SL",K326,IF(U326="TP",N326,"")))</f>
        <v/>
      </c>
      <c r="X326" s="125">
        <f>IF(O326="","",IF(AND(O326="Buy",$E$24&lt;J326),"SL",IF(AND(O326="Buy",$D$24&gt;M326),"TP",IF(AND(O326="Sell",$D$24&gt;J326),"SL",IF(AND(O326="Sell",$E$24&lt;M326),"TP","")))))</f>
        <v/>
      </c>
    </row>
  </sheetData>
  <mergeCells count="24">
    <mergeCell ref="V24:V26"/>
    <mergeCell ref="P25:P26"/>
    <mergeCell ref="Q25:Q26"/>
    <mergeCell ref="R25:R26"/>
    <mergeCell ref="P24:R24"/>
    <mergeCell ref="T24:T26"/>
    <mergeCell ref="U24:U26"/>
    <mergeCell ref="S25:S26"/>
    <mergeCell ref="E25:E26"/>
    <mergeCell ref="F25:F26"/>
    <mergeCell ref="P1:R1"/>
    <mergeCell ref="A24:A26"/>
    <mergeCell ref="J24:J26"/>
    <mergeCell ref="B25:B26"/>
    <mergeCell ref="C25:C26"/>
    <mergeCell ref="D25:D26"/>
    <mergeCell ref="G25:G26"/>
    <mergeCell ref="I25:I26"/>
    <mergeCell ref="K24:K26"/>
    <mergeCell ref="L24:L26"/>
    <mergeCell ref="M24:M26"/>
    <mergeCell ref="N24:N26"/>
    <mergeCell ref="O24:O26"/>
    <mergeCell ref="H25:H26"/>
  </mergeCells>
  <pageMargins bottom="0.75" footer="0.3" header="0.3" left="0.7" right="0.7" top="0.75"/>
  <pageSetup orientation="portrait" paperSize="9"/>
  <drawing r:id="rId1"/>
  <legacyDrawing r:id="anysvml"/>
</worksheet>
</file>

<file path=xl/worksheets/sheet2.xml><?xml version="1.0" encoding="utf-8"?>
<worksheet xmlns="http://schemas.openxmlformats.org/spreadsheetml/2006/main">
  <sheetPr codeName="Sheet1">
    <outlinePr summaryBelow="1" summaryRight="1"/>
    <pageSetUpPr/>
  </sheetPr>
  <dimension ref="A1:AA153"/>
  <sheetViews>
    <sheetView topLeftCell="C1" workbookViewId="0">
      <selection activeCell="AB17" sqref="AB17"/>
    </sheetView>
  </sheetViews>
  <sheetFormatPr baseColWidth="8" defaultRowHeight="12" outlineLevelCol="0"/>
  <cols>
    <col customWidth="1" max="1" min="1" style="144" width="4.42578125"/>
    <col customWidth="1" max="2" min="2" style="144" width="9.5703125"/>
    <col customWidth="1" max="3" min="3" style="150" width="9.42578125"/>
    <col customWidth="1" max="5" min="4" style="142" width="7.5703125"/>
    <col customWidth="1" max="6" min="6" style="142" width="7.7109375"/>
    <col customWidth="1" max="7" min="7" style="142" width="7.5703125"/>
    <col customWidth="1" max="8" min="8" style="144" width="12.7109375"/>
    <col customWidth="1" max="9" min="9" style="144" width="6.85546875"/>
    <col customWidth="1" max="10" min="10" style="144" width="6.42578125"/>
    <col customWidth="1" max="11" min="11" style="142" width="8.85546875"/>
    <col customWidth="1" max="12" min="12" style="147" width="6.85546875"/>
    <col customWidth="1" max="14" min="13" style="142" width="7.7109375"/>
    <col customWidth="1" max="15" min="15" style="147" width="7.28515625"/>
    <col customWidth="1" max="16" min="16" style="144" width="7.7109375"/>
    <col customWidth="1" max="17" min="17" style="144" width="3.7109375"/>
    <col customWidth="1" max="18" min="18" style="142" width="8.28515625"/>
    <col customWidth="1" max="19" min="19" style="142" width="8.5703125"/>
    <col customWidth="1" max="20" min="20" style="163" width="4.85546875"/>
    <col customWidth="1" max="21" min="21" style="150" width="11.140625"/>
    <col customWidth="1" max="22" min="22" style="144" width="3.7109375"/>
    <col customWidth="1" max="23" min="23" style="147" width="6.28515625"/>
    <col customWidth="1" max="24" min="24" style="147" width="8.42578125"/>
    <col customWidth="1" max="25" min="25" style="147" width="6.7109375"/>
    <col customWidth="1" max="26" min="26" style="147" width="5.140625"/>
    <col customWidth="1" max="27" min="27" style="147" width="5.28515625"/>
    <col customWidth="1" max="31" min="28" style="144" width="9.140625"/>
    <col customWidth="1" max="16384" min="32" style="144" width="9.140625"/>
  </cols>
  <sheetData>
    <row customHeight="1" ht="20.25" r="1" spans="1:27" thickBot="1" thickTop="1">
      <c r="A1" s="148" t="s">
        <v>41</v>
      </c>
      <c r="B1" s="145" t="s">
        <v>42</v>
      </c>
      <c r="C1" s="149" t="s">
        <v>43</v>
      </c>
      <c r="D1" s="141" t="s">
        <v>8</v>
      </c>
      <c r="E1" s="141" t="s">
        <v>34</v>
      </c>
      <c r="F1" s="141" t="s">
        <v>35</v>
      </c>
      <c r="G1" s="141" t="s">
        <v>36</v>
      </c>
      <c r="H1" s="141" t="s">
        <v>37</v>
      </c>
      <c r="I1" s="141" t="s">
        <v>13</v>
      </c>
      <c r="J1" s="145" t="s">
        <v>14</v>
      </c>
      <c r="K1" s="141" t="s">
        <v>15</v>
      </c>
      <c r="L1" s="146" t="s">
        <v>16</v>
      </c>
      <c r="M1" s="141" t="s">
        <v>26</v>
      </c>
      <c r="N1" s="141" t="s">
        <v>27</v>
      </c>
      <c r="O1" s="146" t="s">
        <v>28</v>
      </c>
      <c r="P1" s="151" t="s">
        <v>20</v>
      </c>
      <c r="Q1" s="143" t="s">
        <v>29</v>
      </c>
      <c r="T1" s="164" t="s">
        <v>44</v>
      </c>
      <c r="U1" s="149" t="s">
        <v>30</v>
      </c>
      <c r="V1" s="149" t="s">
        <v>31</v>
      </c>
      <c r="W1" s="146" t="s">
        <v>32</v>
      </c>
      <c r="X1" s="43" t="s">
        <v>33</v>
      </c>
      <c r="Y1" s="66" t="s">
        <v>45</v>
      </c>
      <c r="Z1" s="68" t="s">
        <v>46</v>
      </c>
      <c r="AA1" s="72" t="s">
        <v>47</v>
      </c>
    </row>
    <row customHeight="1" ht="18.75" r="2" spans="1:27" thickBot="1" thickTop="1">
      <c r="Q2" s="145" t="s">
        <v>21</v>
      </c>
      <c r="R2" s="141" t="s">
        <v>38</v>
      </c>
      <c r="S2" s="141" t="s">
        <v>27</v>
      </c>
      <c r="X2" s="43">
        <f>IFERROR(SUM(W4:W153),"")</f>
        <v/>
      </c>
      <c r="Y2" s="66">
        <f>IFERROR(SUM(Y4:Y153),"")</f>
        <v/>
      </c>
      <c r="Z2" s="69">
        <f>IFERROR(AVERAGE(Z4:Z153),"")</f>
        <v/>
      </c>
      <c r="AA2" s="73">
        <f>IFERROR(AVERAGE(AA4:AA153),"")</f>
        <v/>
      </c>
    </row>
    <row customHeight="1" ht="15.75" r="3" spans="1:27" thickBot="1" thickTop="1">
      <c r="X3" s="44" t="s">
        <v>40</v>
      </c>
      <c r="Y3" s="67">
        <f>IFERROR(SUM(X4:X153),"")</f>
        <v/>
      </c>
      <c r="Z3" s="70" t="n"/>
      <c r="AA3" s="74" t="n"/>
    </row>
    <row customHeight="1" ht="12.75" r="4" spans="1:27" thickTop="1">
      <c r="A4" s="37" t="n">
        <v>1</v>
      </c>
      <c r="B4" s="37" t="n"/>
      <c r="C4" s="38" t="n"/>
      <c r="D4" s="106" t="n"/>
      <c r="E4" s="106" t="n"/>
      <c r="F4" s="106" t="n"/>
      <c r="G4" s="106" t="n"/>
      <c r="H4" s="37" t="n"/>
      <c r="I4" s="37" t="n"/>
      <c r="J4" s="37" t="n"/>
      <c r="K4" s="106" t="n"/>
      <c r="L4" s="71" t="n"/>
      <c r="M4" s="106" t="n"/>
      <c r="N4" s="106" t="n"/>
      <c r="O4" s="71" t="n">
        <v>58.6</v>
      </c>
      <c r="P4" s="37" t="n"/>
      <c r="Q4" s="37" t="n"/>
      <c r="R4" s="106" t="n"/>
      <c r="S4" s="106" t="n"/>
      <c r="T4" s="165">
        <f>IF(Q4="","",IF(Q4="L",ABS((N4-M4)/(M4-K4)),IF(Q4="S",ABS((M4-N4)/(K4-M4)),"")))</f>
        <v/>
      </c>
      <c r="U4" s="38" t="n"/>
      <c r="V4" s="37" t="n"/>
      <c r="W4" s="71">
        <f>IF(V4="","",IF(V4="SL",L4+Y4,IF(V4="TP",O4+Y4,"")))</f>
        <v/>
      </c>
      <c r="X4" s="71" t="n"/>
      <c r="Y4" s="39" t="n"/>
      <c r="Z4" s="71">
        <f>IF(OR(V4="",V4="tp"),"",IF(V4="sl",T4,""))</f>
        <v/>
      </c>
      <c r="AA4" s="71">
        <f>IF(OR(V4="",V4="sl"),"",IF(V4="tp",T4,""))</f>
        <v/>
      </c>
    </row>
    <row r="5" spans="1:27">
      <c r="A5" s="40" t="n">
        <v>2</v>
      </c>
      <c r="B5" s="40" t="n"/>
      <c r="C5" s="41" t="n"/>
      <c r="D5" s="108" t="n"/>
      <c r="E5" s="108" t="n"/>
      <c r="F5" s="108" t="n"/>
      <c r="G5" s="108" t="n"/>
      <c r="H5" s="40" t="n"/>
      <c r="I5" s="40" t="n"/>
      <c r="J5" s="40" t="n"/>
      <c r="K5" s="108" t="n"/>
      <c r="L5" s="42" t="n"/>
      <c r="M5" s="108" t="n"/>
      <c r="N5" s="108" t="n"/>
      <c r="O5" s="42" t="n"/>
      <c r="P5" s="40" t="n"/>
      <c r="Q5" s="40" t="n"/>
      <c r="R5" s="108" t="n"/>
      <c r="S5" s="108" t="n"/>
      <c r="T5" s="165">
        <f>IF(Q5="","",IF(Q5="L",ABS((N5-M5)/(M5-K5)),IF(Q5="S",ABS((M5-N5)/(K5-M5)),"")))</f>
        <v/>
      </c>
      <c r="U5" s="41" t="n"/>
      <c r="V5" s="40" t="n"/>
      <c r="W5" s="42">
        <f>IF(V5="","",IF(V5="SL",L5+Y5,IF(V5="TP",O5+Y5,"")))</f>
        <v/>
      </c>
      <c r="X5" s="42" t="n"/>
      <c r="Y5" s="42" t="n"/>
      <c r="Z5" s="42">
        <f>IF(OR(V5="",V5="tp"),"",IF(V5="sl",T5,""))</f>
        <v/>
      </c>
      <c r="AA5" s="42">
        <f>IF(OR(V5="",V5="sl"),"",IF(V5="tp",T5,""))</f>
        <v/>
      </c>
    </row>
    <row r="6" spans="1:27">
      <c r="A6" s="40" t="n">
        <v>3</v>
      </c>
      <c r="B6" s="40" t="n"/>
      <c r="C6" s="41" t="n"/>
      <c r="D6" s="108" t="n"/>
      <c r="E6" s="108" t="n"/>
      <c r="F6" s="108" t="n"/>
      <c r="G6" s="108" t="n"/>
      <c r="H6" s="40" t="n"/>
      <c r="I6" s="40" t="n"/>
      <c r="J6" s="40" t="n"/>
      <c r="K6" s="108" t="n"/>
      <c r="L6" s="42" t="n"/>
      <c r="M6" s="108" t="n"/>
      <c r="N6" s="108" t="n"/>
      <c r="O6" s="42" t="n"/>
      <c r="P6" s="40" t="n"/>
      <c r="Q6" s="40" t="n"/>
      <c r="R6" s="108" t="n"/>
      <c r="S6" s="108" t="n"/>
      <c r="T6" s="165">
        <f>IF(Q6="","",IF(Q6="L",ABS((N6-M6)/(M6-K6)),IF(Q6="S",ABS((M6-N6)/(K6-M6)),"")))</f>
        <v/>
      </c>
      <c r="U6" s="41" t="n"/>
      <c r="V6" s="40" t="n"/>
      <c r="W6" s="42">
        <f>IF(V6="","",IF(V6="SL",L6+Y6,IF(V6="TP",O6+Y6,"")))</f>
        <v/>
      </c>
      <c r="X6" s="42" t="n"/>
      <c r="Y6" s="42" t="n"/>
      <c r="Z6" s="42">
        <f>IF(OR(V6="",V6="tp"),"",IF(V6="sl",T6,""))</f>
        <v/>
      </c>
      <c r="AA6" s="42">
        <f>IF(OR(V6="",V6="sl"),"",IF(V6="tp",T6,""))</f>
        <v/>
      </c>
    </row>
    <row r="7" spans="1:27">
      <c r="A7" s="40" t="n">
        <v>4</v>
      </c>
      <c r="B7" s="40" t="n"/>
      <c r="C7" s="41" t="n"/>
      <c r="D7" s="108" t="n"/>
      <c r="E7" s="108" t="n"/>
      <c r="F7" s="108" t="n"/>
      <c r="G7" s="108" t="n"/>
      <c r="H7" s="40" t="n"/>
      <c r="I7" s="40" t="n"/>
      <c r="J7" s="40" t="n"/>
      <c r="K7" s="108" t="n"/>
      <c r="L7" s="42" t="n"/>
      <c r="M7" s="108" t="n"/>
      <c r="N7" s="108" t="n"/>
      <c r="O7" s="42" t="n"/>
      <c r="P7" s="40" t="n"/>
      <c r="Q7" s="40" t="n"/>
      <c r="R7" s="108" t="n"/>
      <c r="S7" s="108" t="n"/>
      <c r="T7" s="165">
        <f>IF(Q7="","",IF(Q7="L",ABS((N7-M7)/(M7-K7)),IF(Q7="S",ABS((M7-N7)/(K7-M7)),"")))</f>
        <v/>
      </c>
      <c r="U7" s="41" t="n"/>
      <c r="V7" s="40" t="n"/>
      <c r="W7" s="42">
        <f>IF(V7="","",IF(V7="SL",L7+Y7,IF(V7="TP",O7+Y7,"")))</f>
        <v/>
      </c>
      <c r="X7" s="42" t="n"/>
      <c r="Y7" s="42" t="n"/>
      <c r="Z7" s="42">
        <f>IF(OR(V7="",V7="tp"),"",IF(V7="sl",T7,""))</f>
        <v/>
      </c>
      <c r="AA7" s="42">
        <f>IF(OR(V7="",V7="sl"),"",IF(V7="tp",T7,""))</f>
        <v/>
      </c>
    </row>
    <row r="8" spans="1:27">
      <c r="A8" s="40" t="n">
        <v>5</v>
      </c>
      <c r="B8" s="40" t="n"/>
      <c r="C8" s="41" t="n"/>
      <c r="D8" s="108" t="n"/>
      <c r="E8" s="108" t="n"/>
      <c r="F8" s="108" t="n"/>
      <c r="G8" s="108" t="n"/>
      <c r="H8" s="40" t="n"/>
      <c r="I8" s="40" t="n"/>
      <c r="J8" s="40" t="n"/>
      <c r="K8" s="108" t="n"/>
      <c r="L8" s="42" t="n"/>
      <c r="M8" s="108" t="n"/>
      <c r="N8" s="108" t="n"/>
      <c r="O8" s="42" t="n"/>
      <c r="P8" s="40" t="n"/>
      <c r="Q8" s="40" t="n"/>
      <c r="R8" s="108" t="n"/>
      <c r="S8" s="108" t="n"/>
      <c r="T8" s="165">
        <f>IF(Q8="","",IF(Q8="L",ABS((N8-M8)/(M8-K8)),IF(Q8="S",ABS((M8-N8)/(K8-M8)),"")))</f>
        <v/>
      </c>
      <c r="U8" s="41" t="n"/>
      <c r="V8" s="40" t="n"/>
      <c r="W8" s="42">
        <f>IF(V8="","",IF(V8="SL",L8+Y8,IF(V8="TP",O8+Y8,"")))</f>
        <v/>
      </c>
      <c r="X8" s="42" t="n"/>
      <c r="Y8" s="42" t="n"/>
      <c r="Z8" s="42">
        <f>IF(OR(V8="",V8="tp"),"",IF(V8="sl",T8,""))</f>
        <v/>
      </c>
      <c r="AA8" s="42">
        <f>IF(OR(V8="",V8="sl"),"",IF(V8="tp",T8,""))</f>
        <v/>
      </c>
    </row>
    <row r="9" spans="1:27">
      <c r="A9" s="40" t="n">
        <v>6</v>
      </c>
      <c r="B9" s="40" t="n"/>
      <c r="C9" s="41" t="n"/>
      <c r="D9" s="108" t="n"/>
      <c r="E9" s="108" t="n"/>
      <c r="F9" s="108" t="n"/>
      <c r="G9" s="108" t="n"/>
      <c r="H9" s="40" t="n"/>
      <c r="I9" s="40" t="n"/>
      <c r="J9" s="40" t="n"/>
      <c r="K9" s="108" t="n"/>
      <c r="L9" s="42" t="n"/>
      <c r="M9" s="108" t="n"/>
      <c r="N9" s="108" t="n"/>
      <c r="O9" s="42" t="n"/>
      <c r="P9" s="40" t="n"/>
      <c r="Q9" s="40" t="n"/>
      <c r="R9" s="108" t="n"/>
      <c r="S9" s="108" t="n"/>
      <c r="T9" s="165">
        <f>IF(Q9="","",IF(Q9="L",ABS((N9-M9)/(M9-K9)),IF(Q9="S",ABS((M9-N9)/(K9-M9)),"")))</f>
        <v/>
      </c>
      <c r="U9" s="41" t="n"/>
      <c r="V9" s="40" t="n"/>
      <c r="W9" s="42">
        <f>IF(V9="","",IF(V9="SL",L9+Y9,IF(V9="TP",O9+Y9,"")))</f>
        <v/>
      </c>
      <c r="X9" s="42" t="n"/>
      <c r="Y9" s="42" t="n"/>
      <c r="Z9" s="42">
        <f>IF(OR(V9="",V9="tp"),"",IF(V9="sl",T9,""))</f>
        <v/>
      </c>
      <c r="AA9" s="42">
        <f>IF(OR(V9="",V9="sl"),"",IF(V9="tp",T9,""))</f>
        <v/>
      </c>
    </row>
    <row r="10" spans="1:27">
      <c r="A10" s="40" t="n">
        <v>7</v>
      </c>
      <c r="B10" s="40" t="n"/>
      <c r="C10" s="41" t="n"/>
      <c r="D10" s="108" t="n"/>
      <c r="E10" s="108" t="n"/>
      <c r="F10" s="108" t="n"/>
      <c r="G10" s="108" t="n"/>
      <c r="H10" s="40" t="n"/>
      <c r="I10" s="40" t="n"/>
      <c r="J10" s="40" t="n"/>
      <c r="K10" s="108" t="n"/>
      <c r="L10" s="42" t="n"/>
      <c r="M10" s="108" t="n"/>
      <c r="N10" s="108" t="n"/>
      <c r="O10" s="42" t="n"/>
      <c r="P10" s="40" t="n"/>
      <c r="Q10" s="40" t="n"/>
      <c r="R10" s="108" t="n"/>
      <c r="S10" s="108" t="n"/>
      <c r="T10" s="165">
        <f>IF(Q10="","",IF(Q10="L",ABS((N10-M10)/(M10-K10)),IF(Q10="S",ABS((M10-N10)/(K10-M10)),"")))</f>
        <v/>
      </c>
      <c r="U10" s="41" t="n"/>
      <c r="V10" s="40" t="n"/>
      <c r="W10" s="42">
        <f>IF(V10="","",IF(V10="SL",L10+Y10,IF(V10="TP",O10+Y10,"")))</f>
        <v/>
      </c>
      <c r="X10" s="42" t="n"/>
      <c r="Y10" s="42" t="n"/>
      <c r="Z10" s="42">
        <f>IF(OR(V10="",V10="tp"),"",IF(V10="sl",T10,""))</f>
        <v/>
      </c>
      <c r="AA10" s="42">
        <f>IF(OR(V10="",V10="sl"),"",IF(V10="tp",T10,""))</f>
        <v/>
      </c>
    </row>
    <row r="11" spans="1:27">
      <c r="A11" s="40" t="n">
        <v>8</v>
      </c>
      <c r="B11" s="40" t="n"/>
      <c r="C11" s="41" t="n"/>
      <c r="D11" s="108" t="n"/>
      <c r="E11" s="108" t="n"/>
      <c r="F11" s="108" t="n"/>
      <c r="G11" s="108" t="n"/>
      <c r="H11" s="40" t="n"/>
      <c r="I11" s="40" t="n"/>
      <c r="J11" s="40" t="n"/>
      <c r="K11" s="108" t="n"/>
      <c r="L11" s="42" t="n"/>
      <c r="M11" s="108" t="n"/>
      <c r="N11" s="108" t="n"/>
      <c r="O11" s="42" t="n"/>
      <c r="P11" s="40" t="n"/>
      <c r="Q11" s="40" t="n"/>
      <c r="R11" s="108" t="n"/>
      <c r="S11" s="108" t="n"/>
      <c r="T11" s="165">
        <f>IF(Q11="","",IF(Q11="L",ABS((N11-M11)/(M11-K11)),IF(Q11="S",ABS((M11-N11)/(K11-M11)),"")))</f>
        <v/>
      </c>
      <c r="U11" s="41" t="n"/>
      <c r="V11" s="40" t="n"/>
      <c r="W11" s="42">
        <f>IF(V11="","",IF(V11="SL",L11+Y11,IF(V11="TP",O11+Y11,"")))</f>
        <v/>
      </c>
      <c r="X11" s="42" t="n"/>
      <c r="Y11" s="42" t="n"/>
      <c r="Z11" s="42">
        <f>IF(OR(V11="",V11="tp"),"",IF(V11="sl",T11,""))</f>
        <v/>
      </c>
      <c r="AA11" s="42">
        <f>IF(OR(V11="",V11="sl"),"",IF(V11="tp",T11,""))</f>
        <v/>
      </c>
    </row>
    <row r="12" spans="1:27">
      <c r="A12" s="40" t="n">
        <v>9</v>
      </c>
      <c r="B12" s="40" t="n"/>
      <c r="C12" s="41" t="n"/>
      <c r="D12" s="108" t="n"/>
      <c r="E12" s="108" t="n"/>
      <c r="F12" s="108" t="n"/>
      <c r="G12" s="108" t="n"/>
      <c r="H12" s="40" t="n"/>
      <c r="I12" s="40" t="n"/>
      <c r="J12" s="40" t="n"/>
      <c r="K12" s="108" t="n"/>
      <c r="L12" s="42" t="n"/>
      <c r="M12" s="108" t="n"/>
      <c r="N12" s="108" t="n"/>
      <c r="O12" s="42" t="n"/>
      <c r="P12" s="40" t="n"/>
      <c r="Q12" s="40" t="n"/>
      <c r="R12" s="108" t="n"/>
      <c r="S12" s="108" t="n"/>
      <c r="T12" s="165">
        <f>IF(Q12="","",IF(Q12="L",ABS((N12-M12)/(M12-K12)),IF(Q12="S",ABS((M12-N12)/(K12-M12)),"")))</f>
        <v/>
      </c>
      <c r="U12" s="41" t="n"/>
      <c r="V12" s="40" t="n"/>
      <c r="W12" s="42">
        <f>IF(V12="","",IF(V12="SL",L12+Y12,IF(V12="TP",O12+Y12,"")))</f>
        <v/>
      </c>
      <c r="X12" s="42" t="n"/>
      <c r="Y12" s="42" t="n"/>
      <c r="Z12" s="42">
        <f>IF(OR(V12="",V12="tp"),"",IF(V12="sl",T12,""))</f>
        <v/>
      </c>
      <c r="AA12" s="42">
        <f>IF(OR(V12="",V12="sl"),"",IF(V12="tp",T12,""))</f>
        <v/>
      </c>
    </row>
    <row r="13" spans="1:27">
      <c r="A13" s="40" t="n">
        <v>10</v>
      </c>
      <c r="B13" s="40" t="n"/>
      <c r="C13" s="41" t="n"/>
      <c r="D13" s="108" t="n"/>
      <c r="E13" s="108" t="n"/>
      <c r="F13" s="108" t="n"/>
      <c r="G13" s="108" t="n"/>
      <c r="H13" s="40" t="n"/>
      <c r="I13" s="40" t="n"/>
      <c r="J13" s="40" t="n"/>
      <c r="K13" s="108" t="n"/>
      <c r="L13" s="42" t="n"/>
      <c r="M13" s="108" t="n"/>
      <c r="N13" s="108" t="n"/>
      <c r="O13" s="42" t="n"/>
      <c r="P13" s="40" t="n"/>
      <c r="Q13" s="40" t="n"/>
      <c r="R13" s="108" t="n"/>
      <c r="S13" s="108" t="n"/>
      <c r="T13" s="165">
        <f>IF(Q13="","",IF(Q13="L",ABS((N13-M13)/(M13-K13)),IF(Q13="S",ABS((M13-N13)/(K13-M13)),"")))</f>
        <v/>
      </c>
      <c r="U13" s="41" t="n"/>
      <c r="V13" s="40" t="n"/>
      <c r="W13" s="42">
        <f>IF(V13="","",IF(V13="SL",L13+Y13,IF(V13="TP",O13+Y13,"")))</f>
        <v/>
      </c>
      <c r="X13" s="42" t="n"/>
      <c r="Y13" s="42" t="n"/>
      <c r="Z13" s="42">
        <f>IF(OR(V13="",V13="tp"),"",IF(V13="sl",T13,""))</f>
        <v/>
      </c>
      <c r="AA13" s="42">
        <f>IF(OR(V13="",V13="sl"),"",IF(V13="tp",T13,""))</f>
        <v/>
      </c>
    </row>
    <row r="14" spans="1:27">
      <c r="A14" s="40" t="n">
        <v>11</v>
      </c>
      <c r="B14" s="40" t="n"/>
      <c r="C14" s="41" t="n"/>
      <c r="D14" s="108" t="n"/>
      <c r="E14" s="108" t="n"/>
      <c r="F14" s="108" t="n"/>
      <c r="G14" s="108" t="n"/>
      <c r="H14" s="40" t="n"/>
      <c r="I14" s="40" t="n"/>
      <c r="J14" s="40" t="n"/>
      <c r="K14" s="108" t="n"/>
      <c r="L14" s="42" t="n"/>
      <c r="M14" s="108" t="n"/>
      <c r="N14" s="108" t="n"/>
      <c r="O14" s="42" t="n"/>
      <c r="P14" s="40" t="n"/>
      <c r="Q14" s="40" t="n"/>
      <c r="R14" s="108" t="n"/>
      <c r="S14" s="108" t="n"/>
      <c r="T14" s="165">
        <f>IF(Q14="","",IF(Q14="L",ABS((N14-M14)/(M14-K14)),IF(Q14="S",ABS((M14-N14)/(K14-M14)),"")))</f>
        <v/>
      </c>
      <c r="U14" s="41" t="n"/>
      <c r="V14" s="40" t="n"/>
      <c r="W14" s="42">
        <f>IF(V14="","",IF(V14="SL",L14+Y14,IF(V14="TP",O14+Y14,"")))</f>
        <v/>
      </c>
      <c r="X14" s="42" t="n"/>
      <c r="Y14" s="42" t="n"/>
      <c r="Z14" s="42">
        <f>IF(OR(V14="",V14="tp"),"",IF(V14="sl",T14,""))</f>
        <v/>
      </c>
      <c r="AA14" s="42">
        <f>IF(OR(V14="",V14="sl"),"",IF(V14="tp",T14,""))</f>
        <v/>
      </c>
    </row>
    <row r="15" spans="1:27">
      <c r="A15" s="40" t="n">
        <v>12</v>
      </c>
      <c r="B15" s="40" t="n"/>
      <c r="C15" s="41" t="n"/>
      <c r="D15" s="108" t="n"/>
      <c r="E15" s="108" t="n"/>
      <c r="F15" s="108" t="n"/>
      <c r="G15" s="108" t="n"/>
      <c r="H15" s="40" t="n"/>
      <c r="I15" s="40" t="n"/>
      <c r="J15" s="40" t="n"/>
      <c r="K15" s="108" t="n"/>
      <c r="L15" s="42" t="n"/>
      <c r="M15" s="108" t="n"/>
      <c r="N15" s="108" t="n"/>
      <c r="O15" s="42" t="n"/>
      <c r="P15" s="40" t="n"/>
      <c r="Q15" s="40" t="n"/>
      <c r="R15" s="108" t="n"/>
      <c r="S15" s="108" t="n"/>
      <c r="T15" s="165">
        <f>IF(Q15="","",IF(Q15="L",ABS((N15-M15)/(M15-K15)),IF(Q15="S",ABS((M15-N15)/(K15-M15)),"")))</f>
        <v/>
      </c>
      <c r="U15" s="41" t="n"/>
      <c r="V15" s="40" t="n"/>
      <c r="W15" s="42">
        <f>IF(V15="","",IF(V15="SL",L15+Y15,IF(V15="TP",O15+Y15,"")))</f>
        <v/>
      </c>
      <c r="X15" s="42" t="n"/>
      <c r="Y15" s="42" t="n"/>
      <c r="Z15" s="42">
        <f>IF(OR(V15="",V15="tp"),"",IF(V15="sl",T15,""))</f>
        <v/>
      </c>
      <c r="AA15" s="42">
        <f>IF(OR(V15="",V15="sl"),"",IF(V15="tp",T15,""))</f>
        <v/>
      </c>
    </row>
    <row r="16" spans="1:27">
      <c r="A16" s="40" t="n">
        <v>13</v>
      </c>
      <c r="B16" s="40" t="n"/>
      <c r="C16" s="41" t="n"/>
      <c r="D16" s="108" t="n"/>
      <c r="E16" s="108" t="n"/>
      <c r="F16" s="108" t="n"/>
      <c r="G16" s="108" t="n"/>
      <c r="H16" s="40" t="n"/>
      <c r="I16" s="40" t="n"/>
      <c r="J16" s="40" t="n"/>
      <c r="K16" s="108" t="n"/>
      <c r="L16" s="42" t="n"/>
      <c r="M16" s="108" t="n"/>
      <c r="N16" s="108" t="n"/>
      <c r="O16" s="42" t="n"/>
      <c r="P16" s="40" t="n"/>
      <c r="Q16" s="40" t="n"/>
      <c r="R16" s="108" t="n"/>
      <c r="S16" s="108" t="n"/>
      <c r="T16" s="165">
        <f>IF(Q16="","",IF(Q16="L",ABS((N16-M16)/(M16-K16)),IF(Q16="S",ABS((M16-N16)/(K16-M16)),"")))</f>
        <v/>
      </c>
      <c r="U16" s="41" t="n"/>
      <c r="V16" s="40" t="n"/>
      <c r="W16" s="42">
        <f>IF(V16="","",IF(V16="SL",L16+Y16,IF(V16="TP",O16+Y16,"")))</f>
        <v/>
      </c>
      <c r="X16" s="42" t="n"/>
      <c r="Y16" s="42" t="n"/>
      <c r="Z16" s="42">
        <f>IF(OR(V16="",V16="tp"),"",IF(V16="sl",T16,""))</f>
        <v/>
      </c>
      <c r="AA16" s="42">
        <f>IF(OR(V16="",V16="sl"),"",IF(V16="tp",T16,""))</f>
        <v/>
      </c>
    </row>
    <row r="17" spans="1:27">
      <c r="A17" s="40" t="n">
        <v>14</v>
      </c>
      <c r="B17" s="40" t="n"/>
      <c r="C17" s="41" t="n"/>
      <c r="D17" s="108" t="n"/>
      <c r="E17" s="108" t="n"/>
      <c r="F17" s="108" t="n"/>
      <c r="G17" s="108" t="n"/>
      <c r="H17" s="40" t="n"/>
      <c r="I17" s="40" t="n"/>
      <c r="J17" s="40" t="n"/>
      <c r="K17" s="108" t="n"/>
      <c r="L17" s="42" t="n"/>
      <c r="M17" s="108" t="n"/>
      <c r="N17" s="108" t="n"/>
      <c r="O17" s="42" t="n"/>
      <c r="P17" s="40" t="n"/>
      <c r="Q17" s="40" t="n"/>
      <c r="R17" s="108" t="n"/>
      <c r="S17" s="108" t="n"/>
      <c r="T17" s="165">
        <f>IF(Q17="","",IF(Q17="L",ABS((N17-M17)/(M17-K17)),IF(Q17="S",ABS((M17-N17)/(K17-M17)),"")))</f>
        <v/>
      </c>
      <c r="U17" s="41" t="n"/>
      <c r="V17" s="40" t="n"/>
      <c r="W17" s="42">
        <f>IF(V17="","",IF(V17="SL",L17+Y17,IF(V17="TP",O17+Y17,"")))</f>
        <v/>
      </c>
      <c r="X17" s="42" t="n"/>
      <c r="Y17" s="42" t="n"/>
      <c r="Z17" s="42">
        <f>IF(OR(V17="",V17="tp"),"",IF(V17="sl",T17,""))</f>
        <v/>
      </c>
      <c r="AA17" s="42">
        <f>IF(OR(V17="",V17="sl"),"",IF(V17="tp",T17,""))</f>
        <v/>
      </c>
    </row>
    <row r="18" spans="1:27">
      <c r="A18" s="40" t="n">
        <v>15</v>
      </c>
      <c r="B18" s="40" t="n"/>
      <c r="C18" s="41" t="n"/>
      <c r="D18" s="108" t="n"/>
      <c r="E18" s="108" t="n"/>
      <c r="F18" s="108" t="n"/>
      <c r="G18" s="108" t="n"/>
      <c r="H18" s="40" t="n"/>
      <c r="I18" s="40" t="n"/>
      <c r="J18" s="40" t="n"/>
      <c r="K18" s="108" t="n"/>
      <c r="L18" s="42" t="n"/>
      <c r="M18" s="108" t="n"/>
      <c r="N18" s="108" t="n"/>
      <c r="O18" s="42" t="n"/>
      <c r="P18" s="40" t="n"/>
      <c r="Q18" s="40" t="n"/>
      <c r="R18" s="108" t="n"/>
      <c r="S18" s="108" t="n"/>
      <c r="T18" s="165">
        <f>IF(Q18="","",IF(Q18="L",ABS((N18-M18)/(M18-K18)),IF(Q18="S",ABS((M18-N18)/(K18-M18)),"")))</f>
        <v/>
      </c>
      <c r="U18" s="41" t="n"/>
      <c r="V18" s="40" t="n"/>
      <c r="W18" s="42">
        <f>IF(V18="","",IF(V18="SL",L18+Y18,IF(V18="TP",O18+Y18,"")))</f>
        <v/>
      </c>
      <c r="X18" s="42" t="n"/>
      <c r="Y18" s="42" t="n"/>
      <c r="Z18" s="42">
        <f>IF(OR(V18="",V18="tp"),"",IF(V18="sl",T18,""))</f>
        <v/>
      </c>
      <c r="AA18" s="42">
        <f>IF(OR(V18="",V18="sl"),"",IF(V18="tp",T18,""))</f>
        <v/>
      </c>
    </row>
    <row r="19" spans="1:27">
      <c r="A19" s="40" t="n">
        <v>16</v>
      </c>
      <c r="B19" s="40" t="n"/>
      <c r="C19" s="41" t="n"/>
      <c r="D19" s="108" t="n"/>
      <c r="E19" s="108" t="n"/>
      <c r="F19" s="108" t="n"/>
      <c r="G19" s="108" t="n"/>
      <c r="H19" s="40" t="n"/>
      <c r="I19" s="40" t="n"/>
      <c r="J19" s="40" t="n"/>
      <c r="K19" s="108" t="n"/>
      <c r="L19" s="42" t="n"/>
      <c r="M19" s="108" t="n"/>
      <c r="N19" s="108" t="n"/>
      <c r="O19" s="42" t="n"/>
      <c r="P19" s="40" t="n"/>
      <c r="Q19" s="40" t="n"/>
      <c r="R19" s="108" t="n"/>
      <c r="S19" s="108" t="n"/>
      <c r="T19" s="165">
        <f>IF(Q19="","",IF(Q19="L",ABS((N19-M19)/(M19-K19)),IF(Q19="S",ABS((M19-N19)/(K19-M19)),"")))</f>
        <v/>
      </c>
      <c r="U19" s="41" t="n"/>
      <c r="V19" s="40" t="n"/>
      <c r="W19" s="42">
        <f>IF(V19="","",IF(V19="SL",L19+Y19,IF(V19="TP",O19+Y19,"")))</f>
        <v/>
      </c>
      <c r="X19" s="42" t="n"/>
      <c r="Y19" s="42" t="n"/>
      <c r="Z19" s="42">
        <f>IF(OR(V19="",V19="tp"),"",IF(V19="sl",T19,""))</f>
        <v/>
      </c>
      <c r="AA19" s="42">
        <f>IF(OR(V19="",V19="sl"),"",IF(V19="tp",T19,""))</f>
        <v/>
      </c>
    </row>
    <row r="20" spans="1:27">
      <c r="A20" s="40" t="n">
        <v>17</v>
      </c>
      <c r="B20" s="40" t="n"/>
      <c r="C20" s="41" t="n"/>
      <c r="D20" s="108" t="n"/>
      <c r="E20" s="108" t="n"/>
      <c r="F20" s="108" t="n"/>
      <c r="G20" s="108" t="n"/>
      <c r="H20" s="40" t="n"/>
      <c r="I20" s="40" t="n"/>
      <c r="J20" s="40" t="n"/>
      <c r="K20" s="108" t="n"/>
      <c r="L20" s="42" t="n"/>
      <c r="M20" s="108" t="n"/>
      <c r="N20" s="108" t="n"/>
      <c r="O20" s="42" t="n"/>
      <c r="P20" s="40" t="n"/>
      <c r="Q20" s="40" t="n"/>
      <c r="R20" s="108" t="n"/>
      <c r="S20" s="108" t="n"/>
      <c r="T20" s="165">
        <f>IF(Q20="","",IF(Q20="L",ABS((N20-M20)/(M20-K20)),IF(Q20="S",ABS((M20-N20)/(K20-M20)),"")))</f>
        <v/>
      </c>
      <c r="U20" s="41" t="n"/>
      <c r="V20" s="40" t="n"/>
      <c r="W20" s="42">
        <f>IF(V20="","",IF(V20="SL",L20+Y20,IF(V20="TP",O20+Y20,"")))</f>
        <v/>
      </c>
      <c r="X20" s="42" t="n"/>
      <c r="Y20" s="42" t="n"/>
      <c r="Z20" s="42">
        <f>IF(OR(V20="",V20="tp"),"",IF(V20="sl",T20,""))</f>
        <v/>
      </c>
      <c r="AA20" s="42">
        <f>IF(OR(V20="",V20="sl"),"",IF(V20="tp",T20,""))</f>
        <v/>
      </c>
    </row>
    <row r="21" spans="1:27">
      <c r="A21" s="40" t="n">
        <v>18</v>
      </c>
      <c r="B21" s="40" t="n"/>
      <c r="C21" s="41" t="n"/>
      <c r="D21" s="108" t="n"/>
      <c r="E21" s="108" t="n"/>
      <c r="F21" s="108" t="n"/>
      <c r="G21" s="108" t="n"/>
      <c r="H21" s="40" t="n"/>
      <c r="I21" s="40" t="n"/>
      <c r="J21" s="40" t="n"/>
      <c r="K21" s="108" t="n"/>
      <c r="L21" s="42" t="n"/>
      <c r="M21" s="108" t="n"/>
      <c r="N21" s="108" t="n"/>
      <c r="O21" s="42" t="n"/>
      <c r="P21" s="40" t="n"/>
      <c r="Q21" s="40" t="n"/>
      <c r="R21" s="108" t="n"/>
      <c r="S21" s="108" t="n"/>
      <c r="T21" s="165">
        <f>IF(Q21="","",IF(Q21="L",ABS((N21-M21)/(M21-K21)),IF(Q21="S",ABS((M21-N21)/(K21-M21)),"")))</f>
        <v/>
      </c>
      <c r="U21" s="41" t="n"/>
      <c r="V21" s="40" t="n"/>
      <c r="W21" s="42">
        <f>IF(V21="","",IF(V21="SL",L21+Y21,IF(V21="TP",O21+Y21,"")))</f>
        <v/>
      </c>
      <c r="X21" s="42" t="n"/>
      <c r="Y21" s="42" t="n"/>
      <c r="Z21" s="42">
        <f>IF(OR(V21="",V21="tp"),"",IF(V21="sl",T21,""))</f>
        <v/>
      </c>
      <c r="AA21" s="42">
        <f>IF(OR(V21="",V21="sl"),"",IF(V21="tp",T21,""))</f>
        <v/>
      </c>
    </row>
    <row r="22" spans="1:27">
      <c r="A22" s="40" t="n">
        <v>19</v>
      </c>
      <c r="B22" s="40" t="n"/>
      <c r="C22" s="41" t="n"/>
      <c r="D22" s="108" t="n"/>
      <c r="E22" s="108" t="n"/>
      <c r="F22" s="108" t="n"/>
      <c r="G22" s="108" t="n"/>
      <c r="H22" s="40" t="n"/>
      <c r="I22" s="40" t="n"/>
      <c r="J22" s="40" t="n"/>
      <c r="K22" s="108" t="n"/>
      <c r="L22" s="42" t="n"/>
      <c r="M22" s="108" t="n"/>
      <c r="N22" s="108" t="n"/>
      <c r="O22" s="42" t="n"/>
      <c r="P22" s="40" t="n"/>
      <c r="Q22" s="40" t="n"/>
      <c r="R22" s="108" t="n"/>
      <c r="S22" s="108" t="n"/>
      <c r="T22" s="165">
        <f>IF(Q22="","",IF(Q22="L",ABS((N22-M22)/(M22-K22)),IF(Q22="S",ABS((M22-N22)/(K22-M22)),"")))</f>
        <v/>
      </c>
      <c r="U22" s="41" t="n"/>
      <c r="V22" s="40" t="n"/>
      <c r="W22" s="42">
        <f>IF(V22="","",IF(V22="SL",L22+Y22,IF(V22="TP",O22+Y22,"")))</f>
        <v/>
      </c>
      <c r="X22" s="42" t="n"/>
      <c r="Y22" s="42" t="n"/>
      <c r="Z22" s="42">
        <f>IF(OR(V22="",V22="tp"),"",IF(V22="sl",T22,""))</f>
        <v/>
      </c>
      <c r="AA22" s="42">
        <f>IF(OR(V22="",V22="sl"),"",IF(V22="tp",T22,""))</f>
        <v/>
      </c>
    </row>
    <row r="23" spans="1:27">
      <c r="A23" s="40" t="n">
        <v>20</v>
      </c>
      <c r="B23" s="40" t="n"/>
      <c r="C23" s="41" t="n"/>
      <c r="D23" s="108" t="n"/>
      <c r="E23" s="108" t="n"/>
      <c r="F23" s="108" t="n"/>
      <c r="G23" s="108" t="n"/>
      <c r="H23" s="40" t="n"/>
      <c r="I23" s="40" t="n"/>
      <c r="J23" s="40" t="n"/>
      <c r="K23" s="108" t="n"/>
      <c r="L23" s="42" t="n"/>
      <c r="M23" s="108" t="n"/>
      <c r="N23" s="108" t="n"/>
      <c r="O23" s="42" t="n"/>
      <c r="P23" s="40" t="n"/>
      <c r="Q23" s="40" t="n"/>
      <c r="R23" s="108" t="n"/>
      <c r="S23" s="108" t="n"/>
      <c r="T23" s="165">
        <f>IF(Q23="","",IF(Q23="L",ABS((N23-M23)/(M23-K23)),IF(Q23="S",ABS((M23-N23)/(K23-M23)),"")))</f>
        <v/>
      </c>
      <c r="U23" s="41" t="n"/>
      <c r="V23" s="40" t="n"/>
      <c r="W23" s="42">
        <f>IF(V23="","",IF(V23="SL",L23+Y23,IF(V23="TP",O23+Y23,"")))</f>
        <v/>
      </c>
      <c r="X23" s="42" t="n"/>
      <c r="Y23" s="42" t="n"/>
      <c r="Z23" s="42">
        <f>IF(OR(V23="",V23="tp"),"",IF(V23="sl",T23,""))</f>
        <v/>
      </c>
      <c r="AA23" s="42">
        <f>IF(OR(V23="",V23="sl"),"",IF(V23="tp",T23,""))</f>
        <v/>
      </c>
    </row>
    <row r="24" spans="1:27">
      <c r="A24" s="40" t="n">
        <v>21</v>
      </c>
      <c r="B24" s="40" t="n"/>
      <c r="C24" s="41" t="n"/>
      <c r="D24" s="108" t="n"/>
      <c r="E24" s="108" t="n"/>
      <c r="F24" s="108" t="n"/>
      <c r="G24" s="108" t="n"/>
      <c r="H24" s="40" t="n"/>
      <c r="I24" s="40" t="n"/>
      <c r="J24" s="40" t="n"/>
      <c r="K24" s="108" t="n"/>
      <c r="L24" s="42" t="n"/>
      <c r="M24" s="108" t="n"/>
      <c r="N24" s="108" t="n"/>
      <c r="O24" s="42" t="n"/>
      <c r="P24" s="40" t="n"/>
      <c r="Q24" s="40" t="n"/>
      <c r="R24" s="108" t="n"/>
      <c r="S24" s="108" t="n"/>
      <c r="T24" s="165">
        <f>IF(Q24="","",IF(Q24="L",ABS((N24-M24)/(M24-K24)),IF(Q24="S",ABS((M24-N24)/(K24-M24)),"")))</f>
        <v/>
      </c>
      <c r="U24" s="41" t="n"/>
      <c r="V24" s="40" t="n"/>
      <c r="W24" s="42">
        <f>IF(V24="","",IF(V24="SL",L24+Y24,IF(V24="TP",O24+Y24,"")))</f>
        <v/>
      </c>
      <c r="X24" s="42" t="n"/>
      <c r="Y24" s="42" t="n"/>
      <c r="Z24" s="42">
        <f>IF(OR(V24="",V24="tp"),"",IF(V24="sl",T24,""))</f>
        <v/>
      </c>
      <c r="AA24" s="42">
        <f>IF(OR(V24="",V24="sl"),"",IF(V24="tp",T24,""))</f>
        <v/>
      </c>
    </row>
    <row r="25" spans="1:27">
      <c r="A25" s="40" t="n">
        <v>22</v>
      </c>
      <c r="B25" s="40" t="n"/>
      <c r="C25" s="41" t="n"/>
      <c r="D25" s="108" t="n"/>
      <c r="E25" s="108" t="n"/>
      <c r="F25" s="108" t="n"/>
      <c r="G25" s="108" t="n"/>
      <c r="H25" s="40" t="n"/>
      <c r="I25" s="40" t="n"/>
      <c r="J25" s="40" t="n"/>
      <c r="K25" s="108" t="n"/>
      <c r="L25" s="42" t="n"/>
      <c r="M25" s="108" t="n"/>
      <c r="N25" s="108" t="n"/>
      <c r="O25" s="42" t="n"/>
      <c r="P25" s="40" t="n"/>
      <c r="Q25" s="40" t="n"/>
      <c r="R25" s="108" t="n"/>
      <c r="S25" s="108" t="n"/>
      <c r="T25" s="165">
        <f>IF(Q25="","",IF(Q25="L",ABS((N25-M25)/(M25-K25)),IF(Q25="S",ABS((M25-N25)/(K25-M25)),"")))</f>
        <v/>
      </c>
      <c r="U25" s="41" t="n"/>
      <c r="V25" s="40" t="n"/>
      <c r="W25" s="42">
        <f>IF(V25="","",IF(V25="SL",L25+Y25,IF(V25="TP",O25+Y25,"")))</f>
        <v/>
      </c>
      <c r="X25" s="42" t="n"/>
      <c r="Y25" s="42" t="n"/>
      <c r="Z25" s="42">
        <f>IF(OR(V25="",V25="tp"),"",IF(V25="sl",T25,""))</f>
        <v/>
      </c>
      <c r="AA25" s="42">
        <f>IF(OR(V25="",V25="sl"),"",IF(V25="tp",T25,""))</f>
        <v/>
      </c>
    </row>
    <row r="26" spans="1:27">
      <c r="A26" s="40" t="n">
        <v>23</v>
      </c>
      <c r="B26" s="40" t="n"/>
      <c r="C26" s="41" t="n"/>
      <c r="D26" s="108" t="n"/>
      <c r="E26" s="108" t="n"/>
      <c r="F26" s="108" t="n"/>
      <c r="G26" s="108" t="n"/>
      <c r="H26" s="40" t="n"/>
      <c r="I26" s="40" t="n"/>
      <c r="J26" s="40" t="n"/>
      <c r="K26" s="108" t="n"/>
      <c r="L26" s="42" t="n"/>
      <c r="M26" s="108" t="n"/>
      <c r="N26" s="108" t="n"/>
      <c r="O26" s="42" t="n"/>
      <c r="P26" s="40" t="n"/>
      <c r="Q26" s="40" t="n"/>
      <c r="R26" s="108" t="n"/>
      <c r="S26" s="108" t="n"/>
      <c r="T26" s="165">
        <f>IF(Q26="","",IF(Q26="L",ABS((N26-M26)/(M26-K26)),IF(Q26="S",ABS((M26-N26)/(K26-M26)),"")))</f>
        <v/>
      </c>
      <c r="U26" s="41" t="n"/>
      <c r="V26" s="40" t="n"/>
      <c r="W26" s="42">
        <f>IF(V26="","",IF(V26="SL",L26+Y26,IF(V26="TP",O26+Y26,"")))</f>
        <v/>
      </c>
      <c r="X26" s="42" t="n"/>
      <c r="Y26" s="42" t="n"/>
      <c r="Z26" s="42">
        <f>IF(OR(V26="",V26="tp"),"",IF(V26="sl",T26,""))</f>
        <v/>
      </c>
      <c r="AA26" s="42">
        <f>IF(OR(V26="",V26="sl"),"",IF(V26="tp",T26,""))</f>
        <v/>
      </c>
    </row>
    <row r="27" spans="1:27">
      <c r="A27" s="40" t="n">
        <v>24</v>
      </c>
      <c r="B27" s="40" t="n"/>
      <c r="C27" s="41" t="n"/>
      <c r="D27" s="108" t="n"/>
      <c r="E27" s="108" t="n"/>
      <c r="F27" s="108" t="n"/>
      <c r="G27" s="108" t="n"/>
      <c r="H27" s="40" t="n"/>
      <c r="I27" s="40" t="n"/>
      <c r="J27" s="40" t="n"/>
      <c r="K27" s="108" t="n"/>
      <c r="L27" s="42" t="n"/>
      <c r="M27" s="108" t="n"/>
      <c r="N27" s="108" t="n"/>
      <c r="O27" s="42" t="n"/>
      <c r="P27" s="40" t="n"/>
      <c r="Q27" s="40" t="n"/>
      <c r="R27" s="108" t="n"/>
      <c r="S27" s="108" t="n"/>
      <c r="T27" s="165">
        <f>IF(Q27="","",IF(Q27="L",ABS((N27-M27)/(M27-K27)),IF(Q27="S",ABS((M27-N27)/(K27-M27)),"")))</f>
        <v/>
      </c>
      <c r="U27" s="41" t="n"/>
      <c r="V27" s="40" t="n"/>
      <c r="W27" s="42">
        <f>IF(V27="","",IF(V27="SL",L27+Y27,IF(V27="TP",O27+Y27,"")))</f>
        <v/>
      </c>
      <c r="X27" s="42" t="n"/>
      <c r="Y27" s="42" t="n"/>
      <c r="Z27" s="42">
        <f>IF(OR(V27="",V27="tp"),"",IF(V27="sl",T27,""))</f>
        <v/>
      </c>
      <c r="AA27" s="42">
        <f>IF(OR(V27="",V27="sl"),"",IF(V27="tp",T27,""))</f>
        <v/>
      </c>
    </row>
    <row r="28" spans="1:27">
      <c r="A28" s="40" t="n">
        <v>25</v>
      </c>
      <c r="B28" s="40" t="n"/>
      <c r="C28" s="41" t="n"/>
      <c r="D28" s="108" t="n"/>
      <c r="E28" s="108" t="n"/>
      <c r="F28" s="108" t="n"/>
      <c r="G28" s="108" t="n"/>
      <c r="H28" s="40" t="n"/>
      <c r="I28" s="40" t="n"/>
      <c r="J28" s="40" t="n"/>
      <c r="K28" s="108" t="n"/>
      <c r="L28" s="42" t="n"/>
      <c r="M28" s="108" t="n"/>
      <c r="N28" s="108" t="n"/>
      <c r="O28" s="42" t="n"/>
      <c r="P28" s="40" t="n"/>
      <c r="Q28" s="40" t="n"/>
      <c r="R28" s="108" t="n"/>
      <c r="S28" s="108" t="n"/>
      <c r="T28" s="165">
        <f>IF(Q28="","",IF(Q28="L",ABS((N28-M28)/(M28-K28)),IF(Q28="S",ABS((M28-N28)/(K28-M28)),"")))</f>
        <v/>
      </c>
      <c r="U28" s="41" t="n"/>
      <c r="V28" s="40" t="n"/>
      <c r="W28" s="42">
        <f>IF(V28="","",IF(V28="SL",L28+Y28,IF(V28="TP",O28+Y28,"")))</f>
        <v/>
      </c>
      <c r="X28" s="42" t="n"/>
      <c r="Y28" s="42" t="n"/>
      <c r="Z28" s="42">
        <f>IF(OR(V28="",V28="tp"),"",IF(V28="sl",T28,""))</f>
        <v/>
      </c>
      <c r="AA28" s="42">
        <f>IF(OR(V28="",V28="sl"),"",IF(V28="tp",T28,""))</f>
        <v/>
      </c>
    </row>
    <row r="29" spans="1:27">
      <c r="A29" s="40" t="n">
        <v>26</v>
      </c>
      <c r="B29" s="40" t="n"/>
      <c r="C29" s="41" t="n"/>
      <c r="D29" s="108" t="n"/>
      <c r="E29" s="108" t="n"/>
      <c r="F29" s="108" t="n"/>
      <c r="G29" s="108" t="n"/>
      <c r="H29" s="40" t="n"/>
      <c r="I29" s="40" t="n"/>
      <c r="J29" s="40" t="n"/>
      <c r="K29" s="108" t="n"/>
      <c r="L29" s="42" t="n"/>
      <c r="M29" s="108" t="n"/>
      <c r="N29" s="108" t="n"/>
      <c r="O29" s="42" t="n"/>
      <c r="P29" s="40" t="n"/>
      <c r="Q29" s="40" t="n"/>
      <c r="R29" s="108" t="n"/>
      <c r="S29" s="108" t="n"/>
      <c r="T29" s="165">
        <f>IF(Q29="","",IF(Q29="L",ABS((N29-M29)/(M29-K29)),IF(Q29="S",ABS((M29-N29)/(K29-M29)),"")))</f>
        <v/>
      </c>
      <c r="U29" s="41" t="n"/>
      <c r="V29" s="40" t="n"/>
      <c r="W29" s="42">
        <f>IF(V29="","",IF(V29="SL",L29+Y29,IF(V29="TP",O29+Y29,"")))</f>
        <v/>
      </c>
      <c r="X29" s="42" t="n"/>
      <c r="Y29" s="42" t="n"/>
      <c r="Z29" s="42">
        <f>IF(OR(V29="",V29="tp"),"",IF(V29="sl",T29,""))</f>
        <v/>
      </c>
      <c r="AA29" s="42">
        <f>IF(OR(V29="",V29="sl"),"",IF(V29="tp",T29,""))</f>
        <v/>
      </c>
    </row>
    <row r="30" spans="1:27">
      <c r="A30" s="40" t="n">
        <v>27</v>
      </c>
      <c r="B30" s="40" t="n"/>
      <c r="C30" s="41" t="n"/>
      <c r="D30" s="108" t="n"/>
      <c r="E30" s="108" t="n"/>
      <c r="F30" s="108" t="n"/>
      <c r="G30" s="108" t="n"/>
      <c r="H30" s="40" t="n"/>
      <c r="I30" s="40" t="n"/>
      <c r="J30" s="40" t="n"/>
      <c r="K30" s="108" t="n"/>
      <c r="L30" s="42" t="n"/>
      <c r="M30" s="108" t="n"/>
      <c r="N30" s="108" t="n"/>
      <c r="O30" s="42" t="n"/>
      <c r="P30" s="40" t="n"/>
      <c r="Q30" s="40" t="n"/>
      <c r="R30" s="108" t="n"/>
      <c r="S30" s="108" t="n"/>
      <c r="T30" s="165">
        <f>IF(Q30="","",IF(Q30="L",ABS((N30-M30)/(M30-K30)),IF(Q30="S",ABS((M30-N30)/(K30-M30)),"")))</f>
        <v/>
      </c>
      <c r="U30" s="41" t="n"/>
      <c r="V30" s="40" t="n"/>
      <c r="W30" s="42">
        <f>IF(V30="","",IF(V30="SL",L30+Y30,IF(V30="TP",O30+Y30,"")))</f>
        <v/>
      </c>
      <c r="X30" s="42" t="n"/>
      <c r="Y30" s="42" t="n"/>
      <c r="Z30" s="42">
        <f>IF(OR(V30="",V30="tp"),"",IF(V30="sl",T30,""))</f>
        <v/>
      </c>
      <c r="AA30" s="42">
        <f>IF(OR(V30="",V30="sl"),"",IF(V30="tp",T30,""))</f>
        <v/>
      </c>
    </row>
    <row r="31" spans="1:27">
      <c r="A31" s="40" t="n">
        <v>28</v>
      </c>
      <c r="B31" s="40" t="n"/>
      <c r="C31" s="41" t="n"/>
      <c r="D31" s="108" t="n"/>
      <c r="E31" s="108" t="n"/>
      <c r="F31" s="108" t="n"/>
      <c r="G31" s="108" t="n"/>
      <c r="H31" s="40" t="n"/>
      <c r="I31" s="40" t="n"/>
      <c r="J31" s="40" t="n"/>
      <c r="K31" s="108" t="n"/>
      <c r="L31" s="42" t="n"/>
      <c r="M31" s="108" t="n"/>
      <c r="N31" s="108" t="n"/>
      <c r="O31" s="42" t="n"/>
      <c r="P31" s="40" t="n"/>
      <c r="Q31" s="40" t="n"/>
      <c r="R31" s="108" t="n"/>
      <c r="S31" s="108" t="n"/>
      <c r="T31" s="165">
        <f>IF(Q31="","",IF(Q31="L",ABS((N31-M31)/(M31-K31)),IF(Q31="S",ABS((M31-N31)/(K31-M31)),"")))</f>
        <v/>
      </c>
      <c r="U31" s="41" t="n"/>
      <c r="V31" s="40" t="n"/>
      <c r="W31" s="42">
        <f>IF(V31="","",IF(V31="SL",L31+Y31,IF(V31="TP",O31+Y31,"")))</f>
        <v/>
      </c>
      <c r="X31" s="42" t="n"/>
      <c r="Y31" s="42" t="n"/>
      <c r="Z31" s="42">
        <f>IF(OR(V31="",V31="tp"),"",IF(V31="sl",T31,""))</f>
        <v/>
      </c>
      <c r="AA31" s="42">
        <f>IF(OR(V31="",V31="sl"),"",IF(V31="tp",T31,""))</f>
        <v/>
      </c>
    </row>
    <row r="32" spans="1:27">
      <c r="A32" s="40" t="n">
        <v>29</v>
      </c>
      <c r="B32" s="40" t="n"/>
      <c r="C32" s="41" t="n"/>
      <c r="D32" s="108" t="n"/>
      <c r="E32" s="108" t="n"/>
      <c r="F32" s="108" t="n"/>
      <c r="G32" s="108" t="n"/>
      <c r="H32" s="40" t="n"/>
      <c r="I32" s="40" t="n"/>
      <c r="J32" s="40" t="n"/>
      <c r="K32" s="108" t="n"/>
      <c r="L32" s="42" t="n"/>
      <c r="M32" s="108" t="n"/>
      <c r="N32" s="108" t="n"/>
      <c r="O32" s="42" t="n"/>
      <c r="P32" s="40" t="n"/>
      <c r="Q32" s="40" t="n"/>
      <c r="R32" s="108" t="n"/>
      <c r="S32" s="108" t="n"/>
      <c r="T32" s="165">
        <f>IF(Q32="","",IF(Q32="L",ABS((N32-M32)/(M32-K32)),IF(Q32="S",ABS((M32-N32)/(K32-M32)),"")))</f>
        <v/>
      </c>
      <c r="U32" s="41" t="n"/>
      <c r="V32" s="40" t="n"/>
      <c r="W32" s="42">
        <f>IF(V32="","",IF(V32="SL",L32+Y32,IF(V32="TP",O32+Y32,"")))</f>
        <v/>
      </c>
      <c r="X32" s="42" t="n"/>
      <c r="Y32" s="42" t="n"/>
      <c r="Z32" s="42">
        <f>IF(OR(V32="",V32="tp"),"",IF(V32="sl",T32,""))</f>
        <v/>
      </c>
      <c r="AA32" s="42">
        <f>IF(OR(V32="",V32="sl"),"",IF(V32="tp",T32,""))</f>
        <v/>
      </c>
    </row>
    <row r="33" spans="1:27">
      <c r="A33" s="40" t="n">
        <v>30</v>
      </c>
      <c r="B33" s="40" t="n"/>
      <c r="C33" s="41" t="n"/>
      <c r="D33" s="108" t="n"/>
      <c r="E33" s="108" t="n"/>
      <c r="F33" s="108" t="n"/>
      <c r="G33" s="108" t="n"/>
      <c r="H33" s="40" t="n"/>
      <c r="I33" s="40" t="n"/>
      <c r="J33" s="40" t="n"/>
      <c r="K33" s="108" t="n"/>
      <c r="L33" s="42" t="n"/>
      <c r="M33" s="108" t="n"/>
      <c r="N33" s="108" t="n"/>
      <c r="O33" s="42" t="n"/>
      <c r="P33" s="40" t="n"/>
      <c r="Q33" s="40" t="n"/>
      <c r="R33" s="108" t="n"/>
      <c r="S33" s="108" t="n"/>
      <c r="T33" s="165">
        <f>IF(Q33="","",IF(Q33="L",ABS((N33-M33)/(M33-K33)),IF(Q33="S",ABS((M33-N33)/(K33-M33)),"")))</f>
        <v/>
      </c>
      <c r="U33" s="41" t="n"/>
      <c r="V33" s="40" t="n"/>
      <c r="W33" s="42">
        <f>IF(V33="","",IF(V33="SL",L33+Y33,IF(V33="TP",O33+Y33,"")))</f>
        <v/>
      </c>
      <c r="X33" s="42" t="n"/>
      <c r="Y33" s="42" t="n"/>
      <c r="Z33" s="42">
        <f>IF(OR(V33="",V33="tp"),"",IF(V33="sl",T33,""))</f>
        <v/>
      </c>
      <c r="AA33" s="42">
        <f>IF(OR(V33="",V33="sl"),"",IF(V33="tp",T33,""))</f>
        <v/>
      </c>
    </row>
    <row r="34" spans="1:27">
      <c r="A34" s="40" t="n">
        <v>31</v>
      </c>
      <c r="B34" s="40" t="n"/>
      <c r="C34" s="41" t="n"/>
      <c r="D34" s="108" t="n"/>
      <c r="E34" s="108" t="n"/>
      <c r="F34" s="108" t="n"/>
      <c r="G34" s="108" t="n"/>
      <c r="H34" s="40" t="n"/>
      <c r="I34" s="40" t="n"/>
      <c r="J34" s="40" t="n"/>
      <c r="K34" s="108" t="n"/>
      <c r="L34" s="42" t="n"/>
      <c r="M34" s="108" t="n"/>
      <c r="N34" s="108" t="n"/>
      <c r="O34" s="42" t="n"/>
      <c r="P34" s="40" t="n"/>
      <c r="Q34" s="40" t="n"/>
      <c r="R34" s="108" t="n"/>
      <c r="S34" s="108" t="n"/>
      <c r="T34" s="165">
        <f>IF(Q34="","",IF(Q34="L",ABS((N34-M34)/(M34-K34)),IF(Q34="S",ABS((M34-N34)/(K34-M34)),"")))</f>
        <v/>
      </c>
      <c r="U34" s="41" t="n"/>
      <c r="V34" s="40" t="n"/>
      <c r="W34" s="42">
        <f>IF(V34="","",IF(V34="SL",L34+Y34,IF(V34="TP",O34+Y34,"")))</f>
        <v/>
      </c>
      <c r="X34" s="42" t="n"/>
      <c r="Y34" s="42" t="n"/>
      <c r="Z34" s="42">
        <f>IF(OR(V34="",V34="tp"),"",IF(V34="sl",T34,""))</f>
        <v/>
      </c>
      <c r="AA34" s="42">
        <f>IF(OR(V34="",V34="sl"),"",IF(V34="tp",T34,""))</f>
        <v/>
      </c>
    </row>
    <row r="35" spans="1:27">
      <c r="A35" s="40" t="n">
        <v>32</v>
      </c>
      <c r="B35" s="40" t="n"/>
      <c r="C35" s="41" t="n"/>
      <c r="D35" s="108" t="n"/>
      <c r="E35" s="108" t="n"/>
      <c r="F35" s="108" t="n"/>
      <c r="G35" s="108" t="n"/>
      <c r="H35" s="40" t="n"/>
      <c r="I35" s="40" t="n"/>
      <c r="J35" s="40" t="n"/>
      <c r="K35" s="108" t="n"/>
      <c r="L35" s="42" t="n"/>
      <c r="M35" s="108" t="n"/>
      <c r="N35" s="108" t="n"/>
      <c r="O35" s="42" t="n"/>
      <c r="P35" s="40" t="n"/>
      <c r="Q35" s="40" t="n"/>
      <c r="R35" s="108" t="n"/>
      <c r="S35" s="108" t="n"/>
      <c r="T35" s="165">
        <f>IF(Q35="","",IF(Q35="L",ABS((N35-M35)/(M35-K35)),IF(Q35="S",ABS((M35-N35)/(K35-M35)),"")))</f>
        <v/>
      </c>
      <c r="U35" s="41" t="n"/>
      <c r="V35" s="40" t="n"/>
      <c r="W35" s="42">
        <f>IF(V35="","",IF(V35="SL",L35+Y35,IF(V35="TP",O35+Y35,"")))</f>
        <v/>
      </c>
      <c r="X35" s="42" t="n"/>
      <c r="Y35" s="42" t="n"/>
      <c r="Z35" s="42">
        <f>IF(OR(V35="",V35="tp"),"",IF(V35="sl",T35,""))</f>
        <v/>
      </c>
      <c r="AA35" s="42">
        <f>IF(OR(V35="",V35="sl"),"",IF(V35="tp",T35,""))</f>
        <v/>
      </c>
    </row>
    <row r="36" spans="1:27">
      <c r="A36" s="40" t="n">
        <v>33</v>
      </c>
      <c r="B36" s="40" t="n"/>
      <c r="C36" s="41" t="n"/>
      <c r="D36" s="108" t="n"/>
      <c r="E36" s="108" t="n"/>
      <c r="F36" s="108" t="n"/>
      <c r="G36" s="108" t="n"/>
      <c r="H36" s="40" t="n"/>
      <c r="I36" s="40" t="n"/>
      <c r="J36" s="40" t="n"/>
      <c r="K36" s="108" t="n"/>
      <c r="L36" s="42" t="n"/>
      <c r="M36" s="108" t="n"/>
      <c r="N36" s="108" t="n"/>
      <c r="O36" s="42" t="n"/>
      <c r="P36" s="40" t="n"/>
      <c r="Q36" s="40" t="n"/>
      <c r="R36" s="108" t="n"/>
      <c r="S36" s="108" t="n"/>
      <c r="T36" s="165">
        <f>IF(Q36="","",IF(Q36="L",ABS((N36-M36)/(M36-K36)),IF(Q36="S",ABS((M36-N36)/(K36-M36)),"")))</f>
        <v/>
      </c>
      <c r="U36" s="41" t="n"/>
      <c r="V36" s="40" t="n"/>
      <c r="W36" s="42">
        <f>IF(V36="","",IF(V36="SL",L36+Y36,IF(V36="TP",O36+Y36,"")))</f>
        <v/>
      </c>
      <c r="X36" s="42" t="n"/>
      <c r="Y36" s="42" t="n"/>
      <c r="Z36" s="42">
        <f>IF(OR(V36="",V36="tp"),"",IF(V36="sl",T36,""))</f>
        <v/>
      </c>
      <c r="AA36" s="42">
        <f>IF(OR(V36="",V36="sl"),"",IF(V36="tp",T36,""))</f>
        <v/>
      </c>
    </row>
    <row r="37" spans="1:27">
      <c r="A37" s="40" t="n">
        <v>34</v>
      </c>
      <c r="B37" s="40" t="n"/>
      <c r="C37" s="41" t="n"/>
      <c r="D37" s="108" t="n"/>
      <c r="E37" s="108" t="n"/>
      <c r="F37" s="108" t="n"/>
      <c r="G37" s="108" t="n"/>
      <c r="H37" s="40" t="n"/>
      <c r="I37" s="40" t="n"/>
      <c r="J37" s="40" t="n"/>
      <c r="K37" s="108" t="n"/>
      <c r="L37" s="42" t="n"/>
      <c r="M37" s="108" t="n"/>
      <c r="N37" s="108" t="n"/>
      <c r="O37" s="42" t="n"/>
      <c r="P37" s="40" t="n"/>
      <c r="Q37" s="40" t="n"/>
      <c r="R37" s="108" t="n"/>
      <c r="S37" s="108" t="n"/>
      <c r="T37" s="165">
        <f>IF(Q37="","",IF(Q37="L",ABS((N37-M37)/(M37-K37)),IF(Q37="S",ABS((M37-N37)/(K37-M37)),"")))</f>
        <v/>
      </c>
      <c r="U37" s="41" t="n"/>
      <c r="V37" s="40" t="n"/>
      <c r="W37" s="42">
        <f>IF(V37="","",IF(V37="SL",L37+Y37,IF(V37="TP",O37+Y37,"")))</f>
        <v/>
      </c>
      <c r="X37" s="42" t="n"/>
      <c r="Y37" s="42" t="n"/>
      <c r="Z37" s="42">
        <f>IF(OR(V37="",V37="tp"),"",IF(V37="sl",T37,""))</f>
        <v/>
      </c>
      <c r="AA37" s="42">
        <f>IF(OR(V37="",V37="sl"),"",IF(V37="tp",T37,""))</f>
        <v/>
      </c>
    </row>
    <row r="38" spans="1:27">
      <c r="A38" s="40" t="n">
        <v>35</v>
      </c>
      <c r="B38" s="40" t="n"/>
      <c r="C38" s="41" t="n"/>
      <c r="D38" s="108" t="n"/>
      <c r="E38" s="108" t="n"/>
      <c r="F38" s="108" t="n"/>
      <c r="G38" s="108" t="n"/>
      <c r="H38" s="40" t="n"/>
      <c r="I38" s="40" t="n"/>
      <c r="J38" s="40" t="n"/>
      <c r="K38" s="108" t="n"/>
      <c r="L38" s="42" t="n"/>
      <c r="M38" s="108" t="n"/>
      <c r="N38" s="108" t="n"/>
      <c r="O38" s="42" t="n"/>
      <c r="P38" s="40" t="n"/>
      <c r="Q38" s="40" t="n"/>
      <c r="R38" s="108" t="n"/>
      <c r="S38" s="108" t="n"/>
      <c r="T38" s="165">
        <f>IF(Q38="","",IF(Q38="L",ABS((N38-M38)/(M38-K38)),IF(Q38="S",ABS((M38-N38)/(K38-M38)),"")))</f>
        <v/>
      </c>
      <c r="U38" s="41" t="n"/>
      <c r="V38" s="40" t="n"/>
      <c r="W38" s="42">
        <f>IF(V38="","",IF(V38="SL",L38+Y38,IF(V38="TP",O38+Y38,"")))</f>
        <v/>
      </c>
      <c r="X38" s="42" t="n"/>
      <c r="Y38" s="42" t="n"/>
      <c r="Z38" s="42">
        <f>IF(OR(V38="",V38="tp"),"",IF(V38="sl",T38,""))</f>
        <v/>
      </c>
      <c r="AA38" s="42">
        <f>IF(OR(V38="",V38="sl"),"",IF(V38="tp",T38,""))</f>
        <v/>
      </c>
    </row>
    <row r="39" spans="1:27">
      <c r="A39" s="40" t="n">
        <v>36</v>
      </c>
      <c r="B39" s="40" t="n"/>
      <c r="C39" s="41" t="n"/>
      <c r="D39" s="108" t="n"/>
      <c r="E39" s="108" t="n"/>
      <c r="F39" s="108" t="n"/>
      <c r="G39" s="108" t="n"/>
      <c r="H39" s="40" t="n"/>
      <c r="I39" s="40" t="n"/>
      <c r="J39" s="40" t="n"/>
      <c r="K39" s="108" t="n"/>
      <c r="L39" s="42" t="n"/>
      <c r="M39" s="108" t="n"/>
      <c r="N39" s="108" t="n"/>
      <c r="O39" s="42" t="n"/>
      <c r="P39" s="40" t="n"/>
      <c r="Q39" s="40" t="n"/>
      <c r="R39" s="108" t="n"/>
      <c r="S39" s="108" t="n"/>
      <c r="T39" s="165">
        <f>IF(Q39="","",IF(Q39="L",ABS((N39-M39)/(M39-K39)),IF(Q39="S",ABS((M39-N39)/(K39-M39)),"")))</f>
        <v/>
      </c>
      <c r="U39" s="41" t="n"/>
      <c r="V39" s="40" t="n"/>
      <c r="W39" s="42">
        <f>IF(V39="","",IF(V39="SL",L39+Y39,IF(V39="TP",O39+Y39,"")))</f>
        <v/>
      </c>
      <c r="X39" s="42" t="n"/>
      <c r="Y39" s="42" t="n"/>
      <c r="Z39" s="42">
        <f>IF(OR(V39="",V39="tp"),"",IF(V39="sl",T39,""))</f>
        <v/>
      </c>
      <c r="AA39" s="42">
        <f>IF(OR(V39="",V39="sl"),"",IF(V39="tp",T39,""))</f>
        <v/>
      </c>
    </row>
    <row r="40" spans="1:27">
      <c r="A40" s="40" t="n">
        <v>37</v>
      </c>
      <c r="B40" s="40" t="n"/>
      <c r="C40" s="41" t="n"/>
      <c r="D40" s="108" t="n"/>
      <c r="E40" s="108" t="n"/>
      <c r="F40" s="108" t="n"/>
      <c r="G40" s="108" t="n"/>
      <c r="H40" s="40" t="n"/>
      <c r="I40" s="40" t="n"/>
      <c r="J40" s="40" t="n"/>
      <c r="K40" s="108" t="n"/>
      <c r="L40" s="42" t="n"/>
      <c r="M40" s="108" t="n"/>
      <c r="N40" s="108" t="n"/>
      <c r="O40" s="42" t="n"/>
      <c r="P40" s="40" t="n"/>
      <c r="Q40" s="40" t="n"/>
      <c r="R40" s="108" t="n"/>
      <c r="S40" s="108" t="n"/>
      <c r="T40" s="165">
        <f>IF(Q40="","",IF(Q40="L",ABS((N40-M40)/(M40-K40)),IF(Q40="S",ABS((M40-N40)/(K40-M40)),"")))</f>
        <v/>
      </c>
      <c r="U40" s="41" t="n"/>
      <c r="V40" s="40" t="n"/>
      <c r="W40" s="42">
        <f>IF(V40="","",IF(V40="SL",L40+Y40,IF(V40="TP",O40+Y40,"")))</f>
        <v/>
      </c>
      <c r="X40" s="42" t="n"/>
      <c r="Y40" s="42" t="n"/>
      <c r="Z40" s="42">
        <f>IF(OR(V40="",V40="tp"),"",IF(V40="sl",T40,""))</f>
        <v/>
      </c>
      <c r="AA40" s="42">
        <f>IF(OR(V40="",V40="sl"),"",IF(V40="tp",T40,""))</f>
        <v/>
      </c>
    </row>
    <row r="41" spans="1:27">
      <c r="A41" s="40" t="n">
        <v>38</v>
      </c>
      <c r="B41" s="40" t="n"/>
      <c r="C41" s="41" t="n"/>
      <c r="D41" s="108" t="n"/>
      <c r="E41" s="108" t="n"/>
      <c r="F41" s="108" t="n"/>
      <c r="G41" s="108" t="n"/>
      <c r="H41" s="40" t="n"/>
      <c r="I41" s="40" t="n"/>
      <c r="J41" s="40" t="n"/>
      <c r="K41" s="108" t="n"/>
      <c r="L41" s="42" t="n"/>
      <c r="M41" s="108" t="n"/>
      <c r="N41" s="108" t="n"/>
      <c r="O41" s="42" t="n"/>
      <c r="P41" s="40" t="n"/>
      <c r="Q41" s="40" t="n"/>
      <c r="R41" s="108" t="n"/>
      <c r="S41" s="108" t="n"/>
      <c r="T41" s="165">
        <f>IF(Q41="","",IF(Q41="L",ABS((N41-M41)/(M41-K41)),IF(Q41="S",ABS((M41-N41)/(K41-M41)),"")))</f>
        <v/>
      </c>
      <c r="U41" s="41" t="n"/>
      <c r="V41" s="40" t="n"/>
      <c r="W41" s="42">
        <f>IF(V41="","",IF(V41="SL",L41+Y41,IF(V41="TP",O41+Y41,"")))</f>
        <v/>
      </c>
      <c r="X41" s="42" t="n"/>
      <c r="Y41" s="42" t="n"/>
      <c r="Z41" s="42">
        <f>IF(OR(V41="",V41="tp"),"",IF(V41="sl",T41,""))</f>
        <v/>
      </c>
      <c r="AA41" s="42">
        <f>IF(OR(V41="",V41="sl"),"",IF(V41="tp",T41,""))</f>
        <v/>
      </c>
    </row>
    <row r="42" spans="1:27">
      <c r="A42" s="40" t="n">
        <v>39</v>
      </c>
      <c r="B42" s="40" t="n"/>
      <c r="C42" s="41" t="n"/>
      <c r="D42" s="108" t="n"/>
      <c r="E42" s="108" t="n"/>
      <c r="F42" s="108" t="n"/>
      <c r="G42" s="108" t="n"/>
      <c r="H42" s="40" t="n"/>
      <c r="I42" s="40" t="n"/>
      <c r="J42" s="40" t="n"/>
      <c r="K42" s="108" t="n"/>
      <c r="L42" s="42" t="n"/>
      <c r="M42" s="108" t="n"/>
      <c r="N42" s="108" t="n"/>
      <c r="O42" s="42" t="n"/>
      <c r="P42" s="40" t="n"/>
      <c r="Q42" s="40" t="n"/>
      <c r="R42" s="108" t="n"/>
      <c r="S42" s="108" t="n"/>
      <c r="T42" s="165">
        <f>IF(Q42="","",IF(Q42="L",ABS((N42-M42)/(M42-K42)),IF(Q42="S",ABS((M42-N42)/(K42-M42)),"")))</f>
        <v/>
      </c>
      <c r="U42" s="41" t="n"/>
      <c r="V42" s="40" t="n"/>
      <c r="W42" s="42">
        <f>IF(V42="","",IF(V42="SL",L42+Y42,IF(V42="TP",O42+Y42,"")))</f>
        <v/>
      </c>
      <c r="X42" s="42" t="n"/>
      <c r="Y42" s="42" t="n"/>
      <c r="Z42" s="42">
        <f>IF(OR(V42="",V42="tp"),"",IF(V42="sl",T42,""))</f>
        <v/>
      </c>
      <c r="AA42" s="42">
        <f>IF(OR(V42="",V42="sl"),"",IF(V42="tp",T42,""))</f>
        <v/>
      </c>
    </row>
    <row r="43" spans="1:27">
      <c r="A43" s="40" t="n">
        <v>40</v>
      </c>
      <c r="B43" s="40" t="n"/>
      <c r="C43" s="41" t="n"/>
      <c r="D43" s="108" t="n"/>
      <c r="E43" s="108" t="n"/>
      <c r="F43" s="108" t="n"/>
      <c r="G43" s="108" t="n"/>
      <c r="H43" s="40" t="n"/>
      <c r="I43" s="40" t="n"/>
      <c r="J43" s="40" t="n"/>
      <c r="K43" s="108" t="n"/>
      <c r="L43" s="42" t="n"/>
      <c r="M43" s="108" t="n"/>
      <c r="N43" s="108" t="n"/>
      <c r="O43" s="42" t="n"/>
      <c r="P43" s="40" t="n"/>
      <c r="Q43" s="40" t="n"/>
      <c r="R43" s="108" t="n"/>
      <c r="S43" s="108" t="n"/>
      <c r="T43" s="165">
        <f>IF(Q43="","",IF(Q43="L",ABS((N43-M43)/(M43-K43)),IF(Q43="S",ABS((M43-N43)/(K43-M43)),"")))</f>
        <v/>
      </c>
      <c r="U43" s="41" t="n"/>
      <c r="V43" s="40" t="n"/>
      <c r="W43" s="42">
        <f>IF(V43="","",IF(V43="SL",L43+Y43,IF(V43="TP",O43+Y43,"")))</f>
        <v/>
      </c>
      <c r="X43" s="42" t="n"/>
      <c r="Y43" s="42" t="n"/>
      <c r="Z43" s="42">
        <f>IF(OR(V43="",V43="tp"),"",IF(V43="sl",T43,""))</f>
        <v/>
      </c>
      <c r="AA43" s="42">
        <f>IF(OR(V43="",V43="sl"),"",IF(V43="tp",T43,""))</f>
        <v/>
      </c>
    </row>
    <row r="44" spans="1:27">
      <c r="A44" s="40" t="n">
        <v>41</v>
      </c>
      <c r="B44" s="40" t="n"/>
      <c r="C44" s="41" t="n"/>
      <c r="D44" s="108" t="n"/>
      <c r="E44" s="108" t="n"/>
      <c r="F44" s="108" t="n"/>
      <c r="G44" s="108" t="n"/>
      <c r="H44" s="40" t="n"/>
      <c r="I44" s="40" t="n"/>
      <c r="J44" s="40" t="n"/>
      <c r="K44" s="108" t="n"/>
      <c r="L44" s="42" t="n"/>
      <c r="M44" s="108" t="n"/>
      <c r="N44" s="108" t="n"/>
      <c r="O44" s="42" t="n"/>
      <c r="P44" s="40" t="n"/>
      <c r="Q44" s="40" t="n"/>
      <c r="R44" s="108" t="n"/>
      <c r="S44" s="108" t="n"/>
      <c r="T44" s="165">
        <f>IF(Q44="","",IF(Q44="L",ABS((N44-M44)/(M44-K44)),IF(Q44="S",ABS((M44-N44)/(K44-M44)),"")))</f>
        <v/>
      </c>
      <c r="U44" s="41" t="n"/>
      <c r="V44" s="40" t="n"/>
      <c r="W44" s="42">
        <f>IF(V44="","",IF(V44="SL",L44+Y44,IF(V44="TP",O44+Y44,"")))</f>
        <v/>
      </c>
      <c r="X44" s="42" t="n"/>
      <c r="Y44" s="42" t="n"/>
      <c r="Z44" s="42">
        <f>IF(OR(V44="",V44="tp"),"",IF(V44="sl",T44,""))</f>
        <v/>
      </c>
      <c r="AA44" s="42">
        <f>IF(OR(V44="",V44="sl"),"",IF(V44="tp",T44,""))</f>
        <v/>
      </c>
    </row>
    <row r="45" spans="1:27">
      <c r="A45" s="40" t="n">
        <v>42</v>
      </c>
      <c r="B45" s="40" t="n"/>
      <c r="C45" s="41" t="n"/>
      <c r="D45" s="108" t="n"/>
      <c r="E45" s="108" t="n"/>
      <c r="F45" s="108" t="n"/>
      <c r="G45" s="108" t="n"/>
      <c r="H45" s="40" t="n"/>
      <c r="I45" s="40" t="n"/>
      <c r="J45" s="40" t="n"/>
      <c r="K45" s="108" t="n"/>
      <c r="L45" s="42" t="n"/>
      <c r="M45" s="108" t="n"/>
      <c r="N45" s="108" t="n"/>
      <c r="O45" s="42" t="n"/>
      <c r="P45" s="40" t="n"/>
      <c r="Q45" s="40" t="n"/>
      <c r="R45" s="108" t="n"/>
      <c r="S45" s="108" t="n"/>
      <c r="T45" s="165">
        <f>IF(Q45="","",IF(Q45="L",ABS((N45-M45)/(M45-K45)),IF(Q45="S",ABS((M45-N45)/(K45-M45)),"")))</f>
        <v/>
      </c>
      <c r="U45" s="41" t="n"/>
      <c r="V45" s="40" t="n"/>
      <c r="W45" s="42">
        <f>IF(V45="","",IF(V45="SL",L45+Y45,IF(V45="TP",O45+Y45,"")))</f>
        <v/>
      </c>
      <c r="X45" s="42" t="n"/>
      <c r="Y45" s="42" t="n"/>
      <c r="Z45" s="42">
        <f>IF(OR(V45="",V45="tp"),"",IF(V45="sl",T45,""))</f>
        <v/>
      </c>
      <c r="AA45" s="42">
        <f>IF(OR(V45="",V45="sl"),"",IF(V45="tp",T45,""))</f>
        <v/>
      </c>
    </row>
    <row r="46" spans="1:27">
      <c r="A46" s="40" t="n">
        <v>43</v>
      </c>
      <c r="B46" s="40" t="n"/>
      <c r="C46" s="41" t="n"/>
      <c r="D46" s="108" t="n"/>
      <c r="E46" s="108" t="n"/>
      <c r="F46" s="108" t="n"/>
      <c r="G46" s="108" t="n"/>
      <c r="H46" s="40" t="n"/>
      <c r="I46" s="40" t="n"/>
      <c r="J46" s="40" t="n"/>
      <c r="K46" s="108" t="n"/>
      <c r="L46" s="42" t="n"/>
      <c r="M46" s="108" t="n"/>
      <c r="N46" s="108" t="n"/>
      <c r="O46" s="42" t="n"/>
      <c r="P46" s="40" t="n"/>
      <c r="Q46" s="40" t="n"/>
      <c r="R46" s="108" t="n"/>
      <c r="S46" s="108" t="n"/>
      <c r="T46" s="165">
        <f>IF(Q46="","",IF(Q46="L",ABS((N46-M46)/(M46-K46)),IF(Q46="S",ABS((M46-N46)/(K46-M46)),"")))</f>
        <v/>
      </c>
      <c r="U46" s="41" t="n"/>
      <c r="V46" s="40" t="n"/>
      <c r="W46" s="42">
        <f>IF(V46="","",IF(V46="SL",L46+Y46,IF(V46="TP",O46+Y46,"")))</f>
        <v/>
      </c>
      <c r="X46" s="42" t="n"/>
      <c r="Y46" s="42" t="n"/>
      <c r="Z46" s="42">
        <f>IF(OR(V46="",V46="tp"),"",IF(V46="sl",T46,""))</f>
        <v/>
      </c>
      <c r="AA46" s="42">
        <f>IF(OR(V46="",V46="sl"),"",IF(V46="tp",T46,""))</f>
        <v/>
      </c>
    </row>
    <row r="47" spans="1:27">
      <c r="A47" s="40" t="n">
        <v>44</v>
      </c>
      <c r="B47" s="40" t="n"/>
      <c r="C47" s="41" t="n"/>
      <c r="D47" s="108" t="n"/>
      <c r="E47" s="108" t="n"/>
      <c r="F47" s="108" t="n"/>
      <c r="G47" s="108" t="n"/>
      <c r="H47" s="40" t="n"/>
      <c r="I47" s="40" t="n"/>
      <c r="J47" s="40" t="n"/>
      <c r="K47" s="108" t="n"/>
      <c r="L47" s="42" t="n"/>
      <c r="M47" s="108" t="n"/>
      <c r="N47" s="108" t="n"/>
      <c r="O47" s="42" t="n"/>
      <c r="P47" s="40" t="n"/>
      <c r="Q47" s="40" t="n"/>
      <c r="R47" s="108" t="n"/>
      <c r="S47" s="108" t="n"/>
      <c r="T47" s="165">
        <f>IF(Q47="","",IF(Q47="L",ABS((N47-M47)/(M47-K47)),IF(Q47="S",ABS((M47-N47)/(K47-M47)),"")))</f>
        <v/>
      </c>
      <c r="U47" s="41" t="n"/>
      <c r="V47" s="40" t="n"/>
      <c r="W47" s="42">
        <f>IF(V47="","",IF(V47="SL",L47+Y47,IF(V47="TP",O47+Y47,"")))</f>
        <v/>
      </c>
      <c r="X47" s="42" t="n"/>
      <c r="Y47" s="42" t="n"/>
      <c r="Z47" s="42">
        <f>IF(OR(V47="",V47="tp"),"",IF(V47="sl",T47,""))</f>
        <v/>
      </c>
      <c r="AA47" s="42">
        <f>IF(OR(V47="",V47="sl"),"",IF(V47="tp",T47,""))</f>
        <v/>
      </c>
    </row>
    <row r="48" spans="1:27">
      <c r="A48" s="40" t="n">
        <v>45</v>
      </c>
      <c r="B48" s="40" t="n"/>
      <c r="C48" s="41" t="n"/>
      <c r="D48" s="108" t="n"/>
      <c r="E48" s="108" t="n"/>
      <c r="F48" s="108" t="n"/>
      <c r="G48" s="108" t="n"/>
      <c r="H48" s="40" t="n"/>
      <c r="I48" s="40" t="n"/>
      <c r="J48" s="40" t="n"/>
      <c r="K48" s="108" t="n"/>
      <c r="L48" s="42" t="n"/>
      <c r="M48" s="108" t="n"/>
      <c r="N48" s="108" t="n"/>
      <c r="O48" s="42" t="n"/>
      <c r="P48" s="40" t="n"/>
      <c r="Q48" s="40" t="n"/>
      <c r="R48" s="108" t="n"/>
      <c r="S48" s="108" t="n"/>
      <c r="T48" s="165">
        <f>IF(Q48="","",IF(Q48="L",ABS((N48-M48)/(M48-K48)),IF(Q48="S",ABS((M48-N48)/(K48-M48)),"")))</f>
        <v/>
      </c>
      <c r="U48" s="41" t="n"/>
      <c r="V48" s="40" t="n"/>
      <c r="W48" s="42">
        <f>IF(V48="","",IF(V48="SL",L48+Y48,IF(V48="TP",O48+Y48,"")))</f>
        <v/>
      </c>
      <c r="X48" s="42" t="n"/>
      <c r="Y48" s="42" t="n"/>
      <c r="Z48" s="42">
        <f>IF(OR(V48="",V48="tp"),"",IF(V48="sl",T48,""))</f>
        <v/>
      </c>
      <c r="AA48" s="42">
        <f>IF(OR(V48="",V48="sl"),"",IF(V48="tp",T48,""))</f>
        <v/>
      </c>
    </row>
    <row r="49" spans="1:27">
      <c r="A49" s="40" t="n">
        <v>46</v>
      </c>
      <c r="B49" s="40" t="n"/>
      <c r="C49" s="41" t="n"/>
      <c r="D49" s="108" t="n"/>
      <c r="E49" s="108" t="n"/>
      <c r="F49" s="108" t="n"/>
      <c r="G49" s="108" t="n"/>
      <c r="H49" s="40" t="n"/>
      <c r="I49" s="40" t="n"/>
      <c r="J49" s="40" t="n"/>
      <c r="K49" s="108" t="n"/>
      <c r="L49" s="42" t="n"/>
      <c r="M49" s="108" t="n"/>
      <c r="N49" s="108" t="n"/>
      <c r="O49" s="42" t="n"/>
      <c r="P49" s="40" t="n"/>
      <c r="Q49" s="40" t="n"/>
      <c r="R49" s="108" t="n"/>
      <c r="S49" s="108" t="n"/>
      <c r="T49" s="165">
        <f>IF(Q49="","",IF(Q49="L",ABS((N49-M49)/(M49-K49)),IF(Q49="S",ABS((M49-N49)/(K49-M49)),"")))</f>
        <v/>
      </c>
      <c r="U49" s="41" t="n"/>
      <c r="V49" s="40" t="n"/>
      <c r="W49" s="42">
        <f>IF(V49="","",IF(V49="SL",L49+Y49,IF(V49="TP",O49+Y49,"")))</f>
        <v/>
      </c>
      <c r="X49" s="42" t="n"/>
      <c r="Y49" s="42" t="n"/>
      <c r="Z49" s="42">
        <f>IF(OR(V49="",V49="tp"),"",IF(V49="sl",T49,""))</f>
        <v/>
      </c>
      <c r="AA49" s="42">
        <f>IF(OR(V49="",V49="sl"),"",IF(V49="tp",T49,""))</f>
        <v/>
      </c>
    </row>
    <row r="50" spans="1:27">
      <c r="A50" s="40" t="n">
        <v>47</v>
      </c>
      <c r="B50" s="40" t="n"/>
      <c r="C50" s="41" t="n"/>
      <c r="D50" s="108" t="n"/>
      <c r="E50" s="108" t="n"/>
      <c r="F50" s="108" t="n"/>
      <c r="G50" s="108" t="n"/>
      <c r="H50" s="40" t="n"/>
      <c r="I50" s="40" t="n"/>
      <c r="J50" s="40" t="n"/>
      <c r="K50" s="108" t="n"/>
      <c r="L50" s="42" t="n"/>
      <c r="M50" s="108" t="n"/>
      <c r="N50" s="108" t="n"/>
      <c r="O50" s="42" t="n"/>
      <c r="P50" s="40" t="n"/>
      <c r="Q50" s="40" t="n"/>
      <c r="R50" s="108" t="n"/>
      <c r="S50" s="108" t="n"/>
      <c r="T50" s="165">
        <f>IF(Q50="","",IF(Q50="L",ABS((N50-M50)/(M50-K50)),IF(Q50="S",ABS((M50-N50)/(K50-M50)),"")))</f>
        <v/>
      </c>
      <c r="U50" s="41" t="n"/>
      <c r="V50" s="40" t="n"/>
      <c r="W50" s="42">
        <f>IF(V50="","",IF(V50="SL",L50+Y50,IF(V50="TP",O50+Y50,"")))</f>
        <v/>
      </c>
      <c r="X50" s="42" t="n"/>
      <c r="Y50" s="42" t="n"/>
      <c r="Z50" s="42">
        <f>IF(OR(V50="",V50="tp"),"",IF(V50="sl",T50,""))</f>
        <v/>
      </c>
      <c r="AA50" s="42">
        <f>IF(OR(V50="",V50="sl"),"",IF(V50="tp",T50,""))</f>
        <v/>
      </c>
    </row>
    <row r="51" spans="1:27">
      <c r="A51" s="40" t="n">
        <v>48</v>
      </c>
      <c r="B51" s="40" t="n"/>
      <c r="C51" s="41" t="n"/>
      <c r="D51" s="108" t="n"/>
      <c r="E51" s="108" t="n"/>
      <c r="F51" s="108" t="n"/>
      <c r="G51" s="108" t="n"/>
      <c r="H51" s="40" t="n"/>
      <c r="I51" s="40" t="n"/>
      <c r="J51" s="40" t="n"/>
      <c r="K51" s="108" t="n"/>
      <c r="L51" s="42" t="n"/>
      <c r="M51" s="108" t="n"/>
      <c r="N51" s="108" t="n"/>
      <c r="O51" s="42" t="n"/>
      <c r="P51" s="40" t="n"/>
      <c r="Q51" s="40" t="n"/>
      <c r="R51" s="108" t="n"/>
      <c r="S51" s="108" t="n"/>
      <c r="T51" s="165">
        <f>IF(Q51="","",IF(Q51="L",ABS((N51-M51)/(M51-K51)),IF(Q51="S",ABS((M51-N51)/(K51-M51)),"")))</f>
        <v/>
      </c>
      <c r="U51" s="41" t="n"/>
      <c r="V51" s="40" t="n"/>
      <c r="W51" s="42">
        <f>IF(V51="","",IF(V51="SL",L51+Y51,IF(V51="TP",O51+Y51,"")))</f>
        <v/>
      </c>
      <c r="X51" s="42" t="n"/>
      <c r="Y51" s="42" t="n"/>
      <c r="Z51" s="42">
        <f>IF(OR(V51="",V51="tp"),"",IF(V51="sl",T51,""))</f>
        <v/>
      </c>
      <c r="AA51" s="42">
        <f>IF(OR(V51="",V51="sl"),"",IF(V51="tp",T51,""))</f>
        <v/>
      </c>
    </row>
    <row r="52" spans="1:27">
      <c r="A52" s="40" t="n">
        <v>49</v>
      </c>
      <c r="B52" s="40" t="n"/>
      <c r="C52" s="41" t="n"/>
      <c r="D52" s="108" t="n"/>
      <c r="E52" s="108" t="n"/>
      <c r="F52" s="108" t="n"/>
      <c r="G52" s="108" t="n"/>
      <c r="H52" s="40" t="n"/>
      <c r="I52" s="40" t="n"/>
      <c r="J52" s="40" t="n"/>
      <c r="K52" s="108" t="n"/>
      <c r="L52" s="42" t="n"/>
      <c r="M52" s="108" t="n"/>
      <c r="N52" s="108" t="n"/>
      <c r="O52" s="42" t="n"/>
      <c r="P52" s="40" t="n"/>
      <c r="Q52" s="40" t="n"/>
      <c r="R52" s="108" t="n"/>
      <c r="S52" s="108" t="n"/>
      <c r="T52" s="165">
        <f>IF(Q52="","",IF(Q52="L",ABS((N52-M52)/(M52-K52)),IF(Q52="S",ABS((M52-N52)/(K52-M52)),"")))</f>
        <v/>
      </c>
      <c r="U52" s="41" t="n"/>
      <c r="V52" s="40" t="n"/>
      <c r="W52" s="42">
        <f>IF(V52="","",IF(V52="SL",L52+Y52,IF(V52="TP",O52+Y52,"")))</f>
        <v/>
      </c>
      <c r="X52" s="42" t="n"/>
      <c r="Y52" s="42" t="n"/>
      <c r="Z52" s="42">
        <f>IF(OR(V52="",V52="tp"),"",IF(V52="sl",T52,""))</f>
        <v/>
      </c>
      <c r="AA52" s="42">
        <f>IF(OR(V52="",V52="sl"),"",IF(V52="tp",T52,""))</f>
        <v/>
      </c>
    </row>
    <row r="53" spans="1:27">
      <c r="A53" s="40" t="n">
        <v>50</v>
      </c>
      <c r="B53" s="40" t="n"/>
      <c r="C53" s="41" t="n"/>
      <c r="D53" s="108" t="n"/>
      <c r="E53" s="108" t="n"/>
      <c r="F53" s="108" t="n"/>
      <c r="G53" s="108" t="n"/>
      <c r="H53" s="40" t="n"/>
      <c r="I53" s="40" t="n"/>
      <c r="J53" s="40" t="n"/>
      <c r="K53" s="108" t="n"/>
      <c r="L53" s="42" t="n"/>
      <c r="M53" s="108" t="n"/>
      <c r="N53" s="108" t="n"/>
      <c r="O53" s="42" t="n"/>
      <c r="P53" s="40" t="n"/>
      <c r="Q53" s="40" t="n"/>
      <c r="R53" s="108" t="n"/>
      <c r="S53" s="108" t="n"/>
      <c r="T53" s="165">
        <f>IF(Q53="","",IF(Q53="L",ABS((N53-M53)/(M53-K53)),IF(Q53="S",ABS((M53-N53)/(K53-M53)),"")))</f>
        <v/>
      </c>
      <c r="U53" s="41" t="n"/>
      <c r="V53" s="40" t="n"/>
      <c r="W53" s="42">
        <f>IF(V53="","",IF(V53="SL",L53+Y53,IF(V53="TP",O53+Y53,"")))</f>
        <v/>
      </c>
      <c r="X53" s="42" t="n"/>
      <c r="Y53" s="42" t="n"/>
      <c r="Z53" s="42">
        <f>IF(OR(V53="",V53="tp"),"",IF(V53="sl",T53,""))</f>
        <v/>
      </c>
      <c r="AA53" s="42">
        <f>IF(OR(V53="",V53="sl"),"",IF(V53="tp",T53,""))</f>
        <v/>
      </c>
    </row>
    <row r="54" spans="1:27">
      <c r="A54" s="40" t="n">
        <v>51</v>
      </c>
      <c r="B54" s="40" t="n"/>
      <c r="C54" s="41" t="n"/>
      <c r="D54" s="108" t="n"/>
      <c r="E54" s="108" t="n"/>
      <c r="F54" s="108" t="n"/>
      <c r="G54" s="108" t="n"/>
      <c r="H54" s="40" t="n"/>
      <c r="I54" s="40" t="n"/>
      <c r="J54" s="40" t="n"/>
      <c r="K54" s="108" t="n"/>
      <c r="L54" s="42" t="n"/>
      <c r="M54" s="108" t="n"/>
      <c r="N54" s="108" t="n"/>
      <c r="O54" s="42" t="n"/>
      <c r="P54" s="40" t="n"/>
      <c r="Q54" s="40" t="n"/>
      <c r="R54" s="108" t="n"/>
      <c r="S54" s="108" t="n"/>
      <c r="T54" s="165">
        <f>IF(Q54="","",IF(Q54="L",ABS((N54-M54)/(M54-K54)),IF(Q54="S",ABS((M54-N54)/(K54-M54)),"")))</f>
        <v/>
      </c>
      <c r="U54" s="41" t="n"/>
      <c r="V54" s="40" t="n"/>
      <c r="W54" s="42">
        <f>IF(V54="","",IF(V54="SL",L54+Y54,IF(V54="TP",O54+Y54,"")))</f>
        <v/>
      </c>
      <c r="X54" s="42" t="n"/>
      <c r="Y54" s="42" t="n"/>
      <c r="Z54" s="42">
        <f>IF(OR(V54="",V54="tp"),"",IF(V54="sl",T54,""))</f>
        <v/>
      </c>
      <c r="AA54" s="42">
        <f>IF(OR(V54="",V54="sl"),"",IF(V54="tp",T54,""))</f>
        <v/>
      </c>
    </row>
    <row r="55" spans="1:27">
      <c r="A55" s="40" t="n">
        <v>52</v>
      </c>
      <c r="B55" s="40" t="n"/>
      <c r="C55" s="41" t="n"/>
      <c r="D55" s="108" t="n"/>
      <c r="E55" s="108" t="n"/>
      <c r="F55" s="108" t="n"/>
      <c r="G55" s="108" t="n"/>
      <c r="H55" s="40" t="n"/>
      <c r="I55" s="40" t="n"/>
      <c r="J55" s="40" t="n"/>
      <c r="K55" s="108" t="n"/>
      <c r="L55" s="42" t="n"/>
      <c r="M55" s="108" t="n"/>
      <c r="N55" s="108" t="n"/>
      <c r="O55" s="42" t="n"/>
      <c r="P55" s="40" t="n"/>
      <c r="Q55" s="40" t="n"/>
      <c r="R55" s="108" t="n"/>
      <c r="S55" s="108" t="n"/>
      <c r="T55" s="165">
        <f>IF(Q55="","",IF(Q55="L",ABS((N55-M55)/(M55-K55)),IF(Q55="S",ABS((M55-N55)/(K55-M55)),"")))</f>
        <v/>
      </c>
      <c r="U55" s="41" t="n"/>
      <c r="V55" s="40" t="n"/>
      <c r="W55" s="42">
        <f>IF(V55="","",IF(V55="SL",L55+Y55,IF(V55="TP",O55+Y55,"")))</f>
        <v/>
      </c>
      <c r="X55" s="42" t="n"/>
      <c r="Y55" s="42" t="n"/>
      <c r="Z55" s="42">
        <f>IF(OR(V55="",V55="tp"),"",IF(V55="sl",T55,""))</f>
        <v/>
      </c>
      <c r="AA55" s="42">
        <f>IF(OR(V55="",V55="sl"),"",IF(V55="tp",T55,""))</f>
        <v/>
      </c>
    </row>
    <row r="56" spans="1:27">
      <c r="A56" s="40" t="n">
        <v>53</v>
      </c>
      <c r="B56" s="40" t="n"/>
      <c r="C56" s="41" t="n"/>
      <c r="D56" s="108" t="n"/>
      <c r="E56" s="108" t="n"/>
      <c r="F56" s="108" t="n"/>
      <c r="G56" s="108" t="n"/>
      <c r="H56" s="40" t="n"/>
      <c r="I56" s="40" t="n"/>
      <c r="J56" s="40" t="n"/>
      <c r="K56" s="108" t="n"/>
      <c r="L56" s="42" t="n"/>
      <c r="M56" s="108" t="n"/>
      <c r="N56" s="108" t="n"/>
      <c r="O56" s="42" t="n"/>
      <c r="P56" s="40" t="n"/>
      <c r="Q56" s="40" t="n"/>
      <c r="R56" s="108" t="n"/>
      <c r="S56" s="108" t="n"/>
      <c r="T56" s="165">
        <f>IF(Q56="","",IF(Q56="L",ABS((N56-M56)/(M56-K56)),IF(Q56="S",ABS((M56-N56)/(K56-M56)),"")))</f>
        <v/>
      </c>
      <c r="U56" s="41" t="n"/>
      <c r="V56" s="40" t="n"/>
      <c r="W56" s="42">
        <f>IF(V56="","",IF(V56="SL",L56+Y56,IF(V56="TP",O56+Y56,"")))</f>
        <v/>
      </c>
      <c r="X56" s="42" t="n"/>
      <c r="Y56" s="42" t="n"/>
      <c r="Z56" s="42">
        <f>IF(OR(V56="",V56="tp"),"",IF(V56="sl",T56,""))</f>
        <v/>
      </c>
      <c r="AA56" s="42">
        <f>IF(OR(V56="",V56="sl"),"",IF(V56="tp",T56,""))</f>
        <v/>
      </c>
    </row>
    <row r="57" spans="1:27">
      <c r="A57" s="40" t="n">
        <v>54</v>
      </c>
      <c r="B57" s="40" t="n"/>
      <c r="C57" s="41" t="n"/>
      <c r="D57" s="108" t="n"/>
      <c r="E57" s="108" t="n"/>
      <c r="F57" s="108" t="n"/>
      <c r="G57" s="108" t="n"/>
      <c r="H57" s="40" t="n"/>
      <c r="I57" s="40" t="n"/>
      <c r="J57" s="40" t="n"/>
      <c r="K57" s="108" t="n"/>
      <c r="L57" s="42" t="n"/>
      <c r="M57" s="108" t="n"/>
      <c r="N57" s="108" t="n"/>
      <c r="O57" s="42" t="n"/>
      <c r="P57" s="40" t="n"/>
      <c r="Q57" s="40" t="n"/>
      <c r="R57" s="108" t="n"/>
      <c r="S57" s="108" t="n"/>
      <c r="T57" s="165">
        <f>IF(Q57="","",IF(Q57="L",ABS((N57-M57)/(M57-K57)),IF(Q57="S",ABS((M57-N57)/(K57-M57)),"")))</f>
        <v/>
      </c>
      <c r="U57" s="41" t="n"/>
      <c r="V57" s="40" t="n"/>
      <c r="W57" s="42">
        <f>IF(V57="","",IF(V57="SL",L57+Y57,IF(V57="TP",O57+Y57,"")))</f>
        <v/>
      </c>
      <c r="X57" s="42" t="n"/>
      <c r="Y57" s="42" t="n"/>
      <c r="Z57" s="42">
        <f>IF(OR(V57="",V57="tp"),"",IF(V57="sl",T57,""))</f>
        <v/>
      </c>
      <c r="AA57" s="42">
        <f>IF(OR(V57="",V57="sl"),"",IF(V57="tp",T57,""))</f>
        <v/>
      </c>
    </row>
    <row r="58" spans="1:27">
      <c r="A58" s="40" t="n">
        <v>55</v>
      </c>
      <c r="B58" s="40" t="n"/>
      <c r="C58" s="41" t="n"/>
      <c r="D58" s="108" t="n"/>
      <c r="E58" s="108" t="n"/>
      <c r="F58" s="108" t="n"/>
      <c r="G58" s="108" t="n"/>
      <c r="H58" s="40" t="n"/>
      <c r="I58" s="40" t="n"/>
      <c r="J58" s="40" t="n"/>
      <c r="K58" s="108" t="n"/>
      <c r="L58" s="42" t="n"/>
      <c r="M58" s="108" t="n"/>
      <c r="N58" s="108" t="n"/>
      <c r="O58" s="42" t="n"/>
      <c r="P58" s="40" t="n"/>
      <c r="Q58" s="40" t="n"/>
      <c r="R58" s="108" t="n"/>
      <c r="S58" s="108" t="n"/>
      <c r="T58" s="165">
        <f>IF(Q58="","",IF(Q58="L",ABS((N58-M58)/(M58-K58)),IF(Q58="S",ABS((M58-N58)/(K58-M58)),"")))</f>
        <v/>
      </c>
      <c r="U58" s="41" t="n"/>
      <c r="V58" s="40" t="n"/>
      <c r="W58" s="42">
        <f>IF(V58="","",IF(V58="SL",L58+Y58,IF(V58="TP",O58+Y58,"")))</f>
        <v/>
      </c>
      <c r="X58" s="42" t="n"/>
      <c r="Y58" s="42" t="n"/>
      <c r="Z58" s="42">
        <f>IF(OR(V58="",V58="tp"),"",IF(V58="sl",T58,""))</f>
        <v/>
      </c>
      <c r="AA58" s="42">
        <f>IF(OR(V58="",V58="sl"),"",IF(V58="tp",T58,""))</f>
        <v/>
      </c>
    </row>
    <row r="59" spans="1:27">
      <c r="A59" s="40" t="n">
        <v>56</v>
      </c>
      <c r="B59" s="40" t="n"/>
      <c r="C59" s="41" t="n"/>
      <c r="D59" s="108" t="n"/>
      <c r="E59" s="108" t="n"/>
      <c r="F59" s="108" t="n"/>
      <c r="G59" s="108" t="n"/>
      <c r="H59" s="40" t="n"/>
      <c r="I59" s="40" t="n"/>
      <c r="J59" s="40" t="n"/>
      <c r="K59" s="108" t="n"/>
      <c r="L59" s="42" t="n"/>
      <c r="M59" s="108" t="n"/>
      <c r="N59" s="108" t="n"/>
      <c r="O59" s="42" t="n"/>
      <c r="P59" s="40" t="n"/>
      <c r="Q59" s="40" t="n"/>
      <c r="R59" s="108" t="n"/>
      <c r="S59" s="108" t="n"/>
      <c r="T59" s="165">
        <f>IF(Q59="","",IF(Q59="L",ABS((N59-M59)/(M59-K59)),IF(Q59="S",ABS((M59-N59)/(K59-M59)),"")))</f>
        <v/>
      </c>
      <c r="U59" s="41" t="n"/>
      <c r="V59" s="40" t="n"/>
      <c r="W59" s="42">
        <f>IF(V59="","",IF(V59="SL",L59+Y59,IF(V59="TP",O59+Y59,"")))</f>
        <v/>
      </c>
      <c r="X59" s="42" t="n"/>
      <c r="Y59" s="42" t="n"/>
      <c r="Z59" s="42">
        <f>IF(OR(V59="",V59="tp"),"",IF(V59="sl",T59,""))</f>
        <v/>
      </c>
      <c r="AA59" s="42">
        <f>IF(OR(V59="",V59="sl"),"",IF(V59="tp",T59,""))</f>
        <v/>
      </c>
    </row>
    <row r="60" spans="1:27">
      <c r="A60" s="40" t="n">
        <v>57</v>
      </c>
      <c r="B60" s="40" t="n"/>
      <c r="C60" s="41" t="n"/>
      <c r="D60" s="108" t="n"/>
      <c r="E60" s="108" t="n"/>
      <c r="F60" s="108" t="n"/>
      <c r="G60" s="108" t="n"/>
      <c r="H60" s="40" t="n"/>
      <c r="I60" s="40" t="n"/>
      <c r="J60" s="40" t="n"/>
      <c r="K60" s="108" t="n"/>
      <c r="L60" s="42" t="n"/>
      <c r="M60" s="108" t="n"/>
      <c r="N60" s="108" t="n"/>
      <c r="O60" s="42" t="n"/>
      <c r="P60" s="40" t="n"/>
      <c r="Q60" s="40" t="n"/>
      <c r="R60" s="108" t="n"/>
      <c r="S60" s="108" t="n"/>
      <c r="T60" s="165">
        <f>IF(Q60="","",IF(Q60="L",ABS((N60-M60)/(M60-K60)),IF(Q60="S",ABS((M60-N60)/(K60-M60)),"")))</f>
        <v/>
      </c>
      <c r="U60" s="41" t="n"/>
      <c r="V60" s="40" t="n"/>
      <c r="W60" s="42">
        <f>IF(V60="","",IF(V60="SL",L60+Y60,IF(V60="TP",O60+Y60,"")))</f>
        <v/>
      </c>
      <c r="X60" s="42" t="n"/>
      <c r="Y60" s="42" t="n"/>
      <c r="Z60" s="42">
        <f>IF(OR(V60="",V60="tp"),"",IF(V60="sl",T60,""))</f>
        <v/>
      </c>
      <c r="AA60" s="42">
        <f>IF(OR(V60="",V60="sl"),"",IF(V60="tp",T60,""))</f>
        <v/>
      </c>
    </row>
    <row r="61" spans="1:27">
      <c r="A61" s="40" t="n">
        <v>58</v>
      </c>
      <c r="B61" s="40" t="n"/>
      <c r="C61" s="41" t="n"/>
      <c r="D61" s="108" t="n"/>
      <c r="E61" s="108" t="n"/>
      <c r="F61" s="108" t="n"/>
      <c r="G61" s="108" t="n"/>
      <c r="H61" s="40" t="n"/>
      <c r="I61" s="40" t="n"/>
      <c r="J61" s="40" t="n"/>
      <c r="K61" s="108" t="n"/>
      <c r="L61" s="42" t="n"/>
      <c r="M61" s="108" t="n"/>
      <c r="N61" s="108" t="n"/>
      <c r="O61" s="42" t="n"/>
      <c r="P61" s="40" t="n"/>
      <c r="Q61" s="40" t="n"/>
      <c r="R61" s="108" t="n"/>
      <c r="S61" s="108" t="n"/>
      <c r="T61" s="165">
        <f>IF(Q61="","",IF(Q61="L",ABS((N61-M61)/(M61-K61)),IF(Q61="S",ABS((M61-N61)/(K61-M61)),"")))</f>
        <v/>
      </c>
      <c r="U61" s="41" t="n"/>
      <c r="V61" s="40" t="n"/>
      <c r="W61" s="42">
        <f>IF(V61="","",IF(V61="SL",L61+Y61,IF(V61="TP",O61+Y61,"")))</f>
        <v/>
      </c>
      <c r="X61" s="42" t="n"/>
      <c r="Y61" s="42" t="n"/>
      <c r="Z61" s="42">
        <f>IF(OR(V61="",V61="tp"),"",IF(V61="sl",T61,""))</f>
        <v/>
      </c>
      <c r="AA61" s="42">
        <f>IF(OR(V61="",V61="sl"),"",IF(V61="tp",T61,""))</f>
        <v/>
      </c>
    </row>
    <row r="62" spans="1:27">
      <c r="A62" s="40" t="n">
        <v>59</v>
      </c>
      <c r="B62" s="40" t="n"/>
      <c r="C62" s="41" t="n"/>
      <c r="D62" s="108" t="n"/>
      <c r="E62" s="108" t="n"/>
      <c r="F62" s="108" t="n"/>
      <c r="G62" s="108" t="n"/>
      <c r="H62" s="40" t="n"/>
      <c r="I62" s="40" t="n"/>
      <c r="J62" s="40" t="n"/>
      <c r="K62" s="108" t="n"/>
      <c r="L62" s="42" t="n"/>
      <c r="M62" s="108" t="n"/>
      <c r="N62" s="108" t="n"/>
      <c r="O62" s="42" t="n"/>
      <c r="P62" s="40" t="n"/>
      <c r="Q62" s="40" t="n"/>
      <c r="R62" s="108" t="n"/>
      <c r="S62" s="108" t="n"/>
      <c r="T62" s="165">
        <f>IF(Q62="","",IF(Q62="L",ABS((N62-M62)/(M62-K62)),IF(Q62="S",ABS((M62-N62)/(K62-M62)),"")))</f>
        <v/>
      </c>
      <c r="U62" s="41" t="n"/>
      <c r="V62" s="40" t="n"/>
      <c r="W62" s="42">
        <f>IF(V62="","",IF(V62="SL",L62+Y62,IF(V62="TP",O62+Y62,"")))</f>
        <v/>
      </c>
      <c r="X62" s="42" t="n"/>
      <c r="Y62" s="42" t="n"/>
      <c r="Z62" s="42">
        <f>IF(OR(V62="",V62="tp"),"",IF(V62="sl",T62,""))</f>
        <v/>
      </c>
      <c r="AA62" s="42">
        <f>IF(OR(V62="",V62="sl"),"",IF(V62="tp",T62,""))</f>
        <v/>
      </c>
    </row>
    <row r="63" spans="1:27">
      <c r="A63" s="40" t="n">
        <v>60</v>
      </c>
      <c r="B63" s="40" t="n"/>
      <c r="C63" s="41" t="n"/>
      <c r="D63" s="108" t="n"/>
      <c r="E63" s="108" t="n"/>
      <c r="F63" s="108" t="n"/>
      <c r="G63" s="108" t="n"/>
      <c r="H63" s="40" t="n"/>
      <c r="I63" s="40" t="n"/>
      <c r="J63" s="40" t="n"/>
      <c r="K63" s="108" t="n"/>
      <c r="L63" s="42" t="n"/>
      <c r="M63" s="108" t="n"/>
      <c r="N63" s="108" t="n"/>
      <c r="O63" s="42" t="n"/>
      <c r="P63" s="40" t="n"/>
      <c r="Q63" s="40" t="n"/>
      <c r="R63" s="108" t="n"/>
      <c r="S63" s="108" t="n"/>
      <c r="T63" s="165">
        <f>IF(Q63="","",IF(Q63="L",ABS((N63-M63)/(M63-K63)),IF(Q63="S",ABS((M63-N63)/(K63-M63)),"")))</f>
        <v/>
      </c>
      <c r="U63" s="41" t="n"/>
      <c r="V63" s="40" t="n"/>
      <c r="W63" s="42">
        <f>IF(V63="","",IF(V63="SL",L63+Y63,IF(V63="TP",O63+Y63,"")))</f>
        <v/>
      </c>
      <c r="X63" s="42" t="n"/>
      <c r="Y63" s="42" t="n"/>
      <c r="Z63" s="42">
        <f>IF(OR(V63="",V63="tp"),"",IF(V63="sl",T63,""))</f>
        <v/>
      </c>
      <c r="AA63" s="42">
        <f>IF(OR(V63="",V63="sl"),"",IF(V63="tp",T63,""))</f>
        <v/>
      </c>
    </row>
    <row r="64" spans="1:27">
      <c r="A64" s="40" t="n">
        <v>61</v>
      </c>
      <c r="B64" s="40" t="n"/>
      <c r="C64" s="41" t="n"/>
      <c r="D64" s="108" t="n"/>
      <c r="E64" s="108" t="n"/>
      <c r="F64" s="108" t="n"/>
      <c r="G64" s="108" t="n"/>
      <c r="H64" s="40" t="n"/>
      <c r="I64" s="40" t="n"/>
      <c r="J64" s="40" t="n"/>
      <c r="K64" s="108" t="n"/>
      <c r="L64" s="42" t="n"/>
      <c r="M64" s="108" t="n"/>
      <c r="N64" s="108" t="n"/>
      <c r="O64" s="42" t="n"/>
      <c r="P64" s="40" t="n"/>
      <c r="Q64" s="40" t="n"/>
      <c r="R64" s="108" t="n"/>
      <c r="S64" s="108" t="n"/>
      <c r="T64" s="165">
        <f>IF(Q64="","",IF(Q64="L",ABS((N64-M64)/(M64-K64)),IF(Q64="S",ABS((M64-N64)/(K64-M64)),"")))</f>
        <v/>
      </c>
      <c r="U64" s="41" t="n"/>
      <c r="V64" s="40" t="n"/>
      <c r="W64" s="42">
        <f>IF(V64="","",IF(V64="SL",L64+Y64,IF(V64="TP",O64+Y64,"")))</f>
        <v/>
      </c>
      <c r="X64" s="42" t="n"/>
      <c r="Y64" s="42" t="n"/>
      <c r="Z64" s="42">
        <f>IF(OR(V64="",V64="tp"),"",IF(V64="sl",T64,""))</f>
        <v/>
      </c>
      <c r="AA64" s="42">
        <f>IF(OR(V64="",V64="sl"),"",IF(V64="tp",T64,""))</f>
        <v/>
      </c>
    </row>
    <row r="65" spans="1:27">
      <c r="A65" s="40" t="n">
        <v>62</v>
      </c>
      <c r="B65" s="40" t="n"/>
      <c r="C65" s="41" t="n"/>
      <c r="D65" s="108" t="n"/>
      <c r="E65" s="108" t="n"/>
      <c r="F65" s="108" t="n"/>
      <c r="G65" s="108" t="n"/>
      <c r="H65" s="40" t="n"/>
      <c r="I65" s="40" t="n"/>
      <c r="J65" s="40" t="n"/>
      <c r="K65" s="108" t="n"/>
      <c r="L65" s="42" t="n"/>
      <c r="M65" s="108" t="n"/>
      <c r="N65" s="108" t="n"/>
      <c r="O65" s="42" t="n"/>
      <c r="P65" s="40" t="n"/>
      <c r="Q65" s="40" t="n"/>
      <c r="R65" s="108" t="n"/>
      <c r="S65" s="108" t="n"/>
      <c r="T65" s="165">
        <f>IF(Q65="","",IF(Q65="L",ABS((N65-M65)/(M65-K65)),IF(Q65="S",ABS((M65-N65)/(K65-M65)),"")))</f>
        <v/>
      </c>
      <c r="U65" s="41" t="n"/>
      <c r="V65" s="40" t="n"/>
      <c r="W65" s="42">
        <f>IF(V65="","",IF(V65="SL",L65+Y65,IF(V65="TP",O65+Y65,"")))</f>
        <v/>
      </c>
      <c r="X65" s="42" t="n"/>
      <c r="Y65" s="42" t="n"/>
      <c r="Z65" s="42">
        <f>IF(OR(V65="",V65="tp"),"",IF(V65="sl",T65,""))</f>
        <v/>
      </c>
      <c r="AA65" s="42">
        <f>IF(OR(V65="",V65="sl"),"",IF(V65="tp",T65,""))</f>
        <v/>
      </c>
    </row>
    <row r="66" spans="1:27">
      <c r="A66" s="40" t="n">
        <v>63</v>
      </c>
      <c r="B66" s="40" t="n"/>
      <c r="C66" s="41" t="n"/>
      <c r="D66" s="108" t="n"/>
      <c r="E66" s="108" t="n"/>
      <c r="F66" s="108" t="n"/>
      <c r="G66" s="108" t="n"/>
      <c r="H66" s="40" t="n"/>
      <c r="I66" s="40" t="n"/>
      <c r="J66" s="40" t="n"/>
      <c r="K66" s="108" t="n"/>
      <c r="L66" s="42" t="n"/>
      <c r="M66" s="108" t="n"/>
      <c r="N66" s="108" t="n"/>
      <c r="O66" s="42" t="n"/>
      <c r="P66" s="40" t="n"/>
      <c r="Q66" s="40" t="n"/>
      <c r="R66" s="108" t="n"/>
      <c r="S66" s="108" t="n"/>
      <c r="T66" s="165">
        <f>IF(Q66="","",IF(Q66="L",ABS((N66-M66)/(M66-K66)),IF(Q66="S",ABS((M66-N66)/(K66-M66)),"")))</f>
        <v/>
      </c>
      <c r="U66" s="41" t="n"/>
      <c r="V66" s="40" t="n"/>
      <c r="W66" s="42">
        <f>IF(V66="","",IF(V66="SL",L66+Y66,IF(V66="TP",O66+Y66,"")))</f>
        <v/>
      </c>
      <c r="X66" s="42" t="n"/>
      <c r="Y66" s="42" t="n"/>
      <c r="Z66" s="42">
        <f>IF(OR(V66="",V66="tp"),"",IF(V66="sl",T66,""))</f>
        <v/>
      </c>
      <c r="AA66" s="42">
        <f>IF(OR(V66="",V66="sl"),"",IF(V66="tp",T66,""))</f>
        <v/>
      </c>
    </row>
    <row r="67" spans="1:27">
      <c r="A67" s="40" t="n">
        <v>64</v>
      </c>
      <c r="B67" s="40" t="n"/>
      <c r="C67" s="41" t="n"/>
      <c r="D67" s="108" t="n"/>
      <c r="E67" s="108" t="n"/>
      <c r="F67" s="108" t="n"/>
      <c r="G67" s="108" t="n"/>
      <c r="H67" s="40" t="n"/>
      <c r="I67" s="40" t="n"/>
      <c r="J67" s="40" t="n"/>
      <c r="K67" s="108" t="n"/>
      <c r="L67" s="42" t="n"/>
      <c r="M67" s="108" t="n"/>
      <c r="N67" s="108" t="n"/>
      <c r="O67" s="42" t="n"/>
      <c r="P67" s="40" t="n"/>
      <c r="Q67" s="40" t="n"/>
      <c r="R67" s="108" t="n"/>
      <c r="S67" s="108" t="n"/>
      <c r="T67" s="165">
        <f>IF(Q67="","",IF(Q67="L",ABS((N67-M67)/(M67-K67)),IF(Q67="S",ABS((M67-N67)/(K67-M67)),"")))</f>
        <v/>
      </c>
      <c r="U67" s="41" t="n"/>
      <c r="V67" s="40" t="n"/>
      <c r="W67" s="42">
        <f>IF(V67="","",IF(V67="SL",L67+Y67,IF(V67="TP",O67+Y67,"")))</f>
        <v/>
      </c>
      <c r="X67" s="42" t="n"/>
      <c r="Y67" s="42" t="n"/>
      <c r="Z67" s="42">
        <f>IF(OR(V67="",V67="tp"),"",IF(V67="sl",T67,""))</f>
        <v/>
      </c>
      <c r="AA67" s="42">
        <f>IF(OR(V67="",V67="sl"),"",IF(V67="tp",T67,""))</f>
        <v/>
      </c>
    </row>
    <row r="68" spans="1:27">
      <c r="A68" s="40" t="n">
        <v>65</v>
      </c>
      <c r="B68" s="40" t="n"/>
      <c r="C68" s="41" t="n"/>
      <c r="D68" s="108" t="n"/>
      <c r="E68" s="108" t="n"/>
      <c r="F68" s="108" t="n"/>
      <c r="G68" s="108" t="n"/>
      <c r="H68" s="40" t="n"/>
      <c r="I68" s="40" t="n"/>
      <c r="J68" s="40" t="n"/>
      <c r="K68" s="108" t="n"/>
      <c r="L68" s="42" t="n"/>
      <c r="M68" s="108" t="n"/>
      <c r="N68" s="108" t="n"/>
      <c r="O68" s="42" t="n"/>
      <c r="P68" s="40" t="n"/>
      <c r="Q68" s="40" t="n"/>
      <c r="R68" s="108" t="n"/>
      <c r="S68" s="108" t="n"/>
      <c r="T68" s="165">
        <f>IF(Q68="","",IF(Q68="L",ABS((N68-M68)/(M68-K68)),IF(Q68="S",ABS((M68-N68)/(K68-M68)),"")))</f>
        <v/>
      </c>
      <c r="U68" s="41" t="n"/>
      <c r="V68" s="40" t="n"/>
      <c r="W68" s="42">
        <f>IF(V68="","",IF(V68="SL",L68+Y68,IF(V68="TP",O68+Y68,"")))</f>
        <v/>
      </c>
      <c r="X68" s="42" t="n"/>
      <c r="Y68" s="42" t="n"/>
      <c r="Z68" s="42">
        <f>IF(OR(V68="",V68="tp"),"",IF(V68="sl",T68,""))</f>
        <v/>
      </c>
      <c r="AA68" s="42">
        <f>IF(OR(V68="",V68="sl"),"",IF(V68="tp",T68,""))</f>
        <v/>
      </c>
    </row>
    <row r="69" spans="1:27">
      <c r="A69" s="40" t="n">
        <v>66</v>
      </c>
      <c r="B69" s="40" t="n"/>
      <c r="C69" s="41" t="n"/>
      <c r="D69" s="108" t="n"/>
      <c r="E69" s="108" t="n"/>
      <c r="F69" s="108" t="n"/>
      <c r="G69" s="108" t="n"/>
      <c r="H69" s="40" t="n"/>
      <c r="I69" s="40" t="n"/>
      <c r="J69" s="40" t="n"/>
      <c r="K69" s="108" t="n"/>
      <c r="L69" s="42" t="n"/>
      <c r="M69" s="108" t="n"/>
      <c r="N69" s="108" t="n"/>
      <c r="O69" s="42" t="n"/>
      <c r="P69" s="40" t="n"/>
      <c r="Q69" s="40" t="n"/>
      <c r="R69" s="108" t="n"/>
      <c r="S69" s="108" t="n"/>
      <c r="T69" s="165">
        <f>IF(Q69="","",IF(Q69="L",ABS((N69-M69)/(M69-K69)),IF(Q69="S",ABS((M69-N69)/(K69-M69)),"")))</f>
        <v/>
      </c>
      <c r="U69" s="41" t="n"/>
      <c r="V69" s="40" t="n"/>
      <c r="W69" s="42">
        <f>IF(V69="","",IF(V69="SL",L69+Y69,IF(V69="TP",O69+Y69,"")))</f>
        <v/>
      </c>
      <c r="X69" s="42" t="n"/>
      <c r="Y69" s="42" t="n"/>
      <c r="Z69" s="42">
        <f>IF(OR(V69="",V69="tp"),"",IF(V69="sl",T69,""))</f>
        <v/>
      </c>
      <c r="AA69" s="42">
        <f>IF(OR(V69="",V69="sl"),"",IF(V69="tp",T69,""))</f>
        <v/>
      </c>
    </row>
    <row r="70" spans="1:27">
      <c r="A70" s="40" t="n">
        <v>67</v>
      </c>
      <c r="B70" s="40" t="n"/>
      <c r="C70" s="41" t="n"/>
      <c r="D70" s="108" t="n"/>
      <c r="E70" s="108" t="n"/>
      <c r="F70" s="108" t="n"/>
      <c r="G70" s="108" t="n"/>
      <c r="H70" s="40" t="n"/>
      <c r="I70" s="40" t="n"/>
      <c r="J70" s="40" t="n"/>
      <c r="K70" s="108" t="n"/>
      <c r="L70" s="42" t="n"/>
      <c r="M70" s="108" t="n"/>
      <c r="N70" s="108" t="n"/>
      <c r="O70" s="42" t="n"/>
      <c r="P70" s="40" t="n"/>
      <c r="Q70" s="40" t="n"/>
      <c r="R70" s="108" t="n"/>
      <c r="S70" s="108" t="n"/>
      <c r="T70" s="165">
        <f>IF(Q70="","",IF(Q70="L",ABS((N70-M70)/(M70-K70)),IF(Q70="S",ABS((M70-N70)/(K70-M70)),"")))</f>
        <v/>
      </c>
      <c r="U70" s="41" t="n"/>
      <c r="V70" s="40" t="n"/>
      <c r="W70" s="42">
        <f>IF(V70="","",IF(V70="SL",L70+Y70,IF(V70="TP",O70+Y70,"")))</f>
        <v/>
      </c>
      <c r="X70" s="42" t="n"/>
      <c r="Y70" s="42" t="n"/>
      <c r="Z70" s="42">
        <f>IF(OR(V70="",V70="tp"),"",IF(V70="sl",T70,""))</f>
        <v/>
      </c>
      <c r="AA70" s="42">
        <f>IF(OR(V70="",V70="sl"),"",IF(V70="tp",T70,""))</f>
        <v/>
      </c>
    </row>
    <row r="71" spans="1:27">
      <c r="A71" s="40" t="n">
        <v>68</v>
      </c>
      <c r="B71" s="40" t="n"/>
      <c r="C71" s="41" t="n"/>
      <c r="D71" s="108" t="n"/>
      <c r="E71" s="108" t="n"/>
      <c r="F71" s="108" t="n"/>
      <c r="G71" s="108" t="n"/>
      <c r="H71" s="40" t="n"/>
      <c r="I71" s="40" t="n"/>
      <c r="J71" s="40" t="n"/>
      <c r="K71" s="108" t="n"/>
      <c r="L71" s="42" t="n"/>
      <c r="M71" s="108" t="n"/>
      <c r="N71" s="108" t="n"/>
      <c r="O71" s="42" t="n"/>
      <c r="P71" s="40" t="n"/>
      <c r="Q71" s="40" t="n"/>
      <c r="R71" s="108" t="n"/>
      <c r="S71" s="108" t="n"/>
      <c r="T71" s="165">
        <f>IF(Q71="","",IF(Q71="L",ABS((N71-M71)/(M71-K71)),IF(Q71="S",ABS((M71-N71)/(K71-M71)),"")))</f>
        <v/>
      </c>
      <c r="U71" s="41" t="n"/>
      <c r="V71" s="40" t="n"/>
      <c r="W71" s="42">
        <f>IF(V71="","",IF(V71="SL",L71+Y71,IF(V71="TP",O71+Y71,"")))</f>
        <v/>
      </c>
      <c r="X71" s="42" t="n"/>
      <c r="Y71" s="42" t="n"/>
      <c r="Z71" s="42">
        <f>IF(OR(V71="",V71="tp"),"",IF(V71="sl",T71,""))</f>
        <v/>
      </c>
      <c r="AA71" s="42">
        <f>IF(OR(V71="",V71="sl"),"",IF(V71="tp",T71,""))</f>
        <v/>
      </c>
    </row>
    <row r="72" spans="1:27">
      <c r="A72" s="40" t="n">
        <v>69</v>
      </c>
      <c r="B72" s="40" t="n"/>
      <c r="C72" s="41" t="n"/>
      <c r="D72" s="108" t="n"/>
      <c r="E72" s="108" t="n"/>
      <c r="F72" s="108" t="n"/>
      <c r="G72" s="108" t="n"/>
      <c r="H72" s="40" t="n"/>
      <c r="I72" s="40" t="n"/>
      <c r="J72" s="40" t="n"/>
      <c r="K72" s="108" t="n"/>
      <c r="L72" s="42" t="n"/>
      <c r="M72" s="108" t="n"/>
      <c r="N72" s="108" t="n"/>
      <c r="O72" s="42" t="n"/>
      <c r="P72" s="40" t="n"/>
      <c r="Q72" s="40" t="n"/>
      <c r="R72" s="108" t="n"/>
      <c r="S72" s="108" t="n"/>
      <c r="T72" s="165">
        <f>IF(Q72="","",IF(Q72="L",ABS((N72-M72)/(M72-K72)),IF(Q72="S",ABS((M72-N72)/(K72-M72)),"")))</f>
        <v/>
      </c>
      <c r="U72" s="41" t="n"/>
      <c r="V72" s="40" t="n"/>
      <c r="W72" s="42">
        <f>IF(V72="","",IF(V72="SL",L72+Y72,IF(V72="TP",O72+Y72,"")))</f>
        <v/>
      </c>
      <c r="X72" s="42" t="n"/>
      <c r="Y72" s="42" t="n"/>
      <c r="Z72" s="42">
        <f>IF(OR(V72="",V72="tp"),"",IF(V72="sl",T72,""))</f>
        <v/>
      </c>
      <c r="AA72" s="42">
        <f>IF(OR(V72="",V72="sl"),"",IF(V72="tp",T72,""))</f>
        <v/>
      </c>
    </row>
    <row r="73" spans="1:27">
      <c r="A73" s="40" t="n">
        <v>70</v>
      </c>
      <c r="B73" s="40" t="n"/>
      <c r="C73" s="41" t="n"/>
      <c r="D73" s="108" t="n"/>
      <c r="E73" s="108" t="n"/>
      <c r="F73" s="108" t="n"/>
      <c r="G73" s="108" t="n"/>
      <c r="H73" s="40" t="n"/>
      <c r="I73" s="40" t="n"/>
      <c r="J73" s="40" t="n"/>
      <c r="K73" s="108" t="n"/>
      <c r="L73" s="42" t="n"/>
      <c r="M73" s="108" t="n"/>
      <c r="N73" s="108" t="n"/>
      <c r="O73" s="42" t="n"/>
      <c r="P73" s="40" t="n"/>
      <c r="Q73" s="40" t="n"/>
      <c r="R73" s="108" t="n"/>
      <c r="S73" s="108" t="n"/>
      <c r="T73" s="165">
        <f>IF(Q73="","",IF(Q73="L",ABS((N73-M73)/(M73-K73)),IF(Q73="S",ABS((M73-N73)/(K73-M73)),"")))</f>
        <v/>
      </c>
      <c r="U73" s="41" t="n"/>
      <c r="V73" s="40" t="n"/>
      <c r="W73" s="42">
        <f>IF(V73="","",IF(V73="SL",L73+Y73,IF(V73="TP",O73+Y73,"")))</f>
        <v/>
      </c>
      <c r="X73" s="42" t="n"/>
      <c r="Y73" s="42" t="n"/>
      <c r="Z73" s="42">
        <f>IF(OR(V73="",V73="tp"),"",IF(V73="sl",T73,""))</f>
        <v/>
      </c>
      <c r="AA73" s="42">
        <f>IF(OR(V73="",V73="sl"),"",IF(V73="tp",T73,""))</f>
        <v/>
      </c>
    </row>
    <row r="74" spans="1:27">
      <c r="A74" s="40" t="n">
        <v>71</v>
      </c>
      <c r="B74" s="40" t="n"/>
      <c r="C74" s="41" t="n"/>
      <c r="D74" s="108" t="n"/>
      <c r="E74" s="108" t="n"/>
      <c r="F74" s="108" t="n"/>
      <c r="G74" s="108" t="n"/>
      <c r="H74" s="40" t="n"/>
      <c r="I74" s="40" t="n"/>
      <c r="J74" s="40" t="n"/>
      <c r="K74" s="108" t="n"/>
      <c r="L74" s="42" t="n"/>
      <c r="M74" s="108" t="n"/>
      <c r="N74" s="108" t="n"/>
      <c r="O74" s="42" t="n"/>
      <c r="P74" s="40" t="n"/>
      <c r="Q74" s="40" t="n"/>
      <c r="R74" s="108" t="n"/>
      <c r="S74" s="108" t="n"/>
      <c r="T74" s="165">
        <f>IF(Q74="","",IF(Q74="L",ABS((N74-M74)/(M74-K74)),IF(Q74="S",ABS((M74-N74)/(K74-M74)),"")))</f>
        <v/>
      </c>
      <c r="U74" s="41" t="n"/>
      <c r="V74" s="40" t="n"/>
      <c r="W74" s="42">
        <f>IF(V74="","",IF(V74="SL",L74+Y74,IF(V74="TP",O74+Y74,"")))</f>
        <v/>
      </c>
      <c r="X74" s="42" t="n"/>
      <c r="Y74" s="42" t="n"/>
      <c r="Z74" s="42">
        <f>IF(OR(V74="",V74="tp"),"",IF(V74="sl",T74,""))</f>
        <v/>
      </c>
      <c r="AA74" s="42">
        <f>IF(OR(V74="",V74="sl"),"",IF(V74="tp",T74,""))</f>
        <v/>
      </c>
    </row>
    <row r="75" spans="1:27">
      <c r="A75" s="40" t="n">
        <v>72</v>
      </c>
      <c r="B75" s="40" t="n"/>
      <c r="C75" s="41" t="n"/>
      <c r="D75" s="108" t="n"/>
      <c r="E75" s="108" t="n"/>
      <c r="F75" s="108" t="n"/>
      <c r="G75" s="108" t="n"/>
      <c r="H75" s="40" t="n"/>
      <c r="I75" s="40" t="n"/>
      <c r="J75" s="40" t="n"/>
      <c r="K75" s="108" t="n"/>
      <c r="L75" s="42" t="n"/>
      <c r="M75" s="108" t="n"/>
      <c r="N75" s="108" t="n"/>
      <c r="O75" s="42" t="n"/>
      <c r="P75" s="40" t="n"/>
      <c r="Q75" s="40" t="n"/>
      <c r="R75" s="108" t="n"/>
      <c r="S75" s="108" t="n"/>
      <c r="T75" s="165">
        <f>IF(Q75="","",IF(Q75="L",ABS((N75-M75)/(M75-K75)),IF(Q75="S",ABS((M75-N75)/(K75-M75)),"")))</f>
        <v/>
      </c>
      <c r="U75" s="41" t="n"/>
      <c r="V75" s="40" t="n"/>
      <c r="W75" s="42">
        <f>IF(V75="","",IF(V75="SL",L75+Y75,IF(V75="TP",O75+Y75,"")))</f>
        <v/>
      </c>
      <c r="X75" s="42" t="n"/>
      <c r="Y75" s="42" t="n"/>
      <c r="Z75" s="42">
        <f>IF(OR(V75="",V75="tp"),"",IF(V75="sl",T75,""))</f>
        <v/>
      </c>
      <c r="AA75" s="42">
        <f>IF(OR(V75="",V75="sl"),"",IF(V75="tp",T75,""))</f>
        <v/>
      </c>
    </row>
    <row r="76" spans="1:27">
      <c r="A76" s="40" t="n">
        <v>73</v>
      </c>
      <c r="B76" s="40" t="n"/>
      <c r="C76" s="41" t="n"/>
      <c r="D76" s="108" t="n"/>
      <c r="E76" s="108" t="n"/>
      <c r="F76" s="108" t="n"/>
      <c r="G76" s="108" t="n"/>
      <c r="H76" s="40" t="n"/>
      <c r="I76" s="40" t="n"/>
      <c r="J76" s="40" t="n"/>
      <c r="K76" s="108" t="n"/>
      <c r="L76" s="42" t="n"/>
      <c r="M76" s="108" t="n"/>
      <c r="N76" s="108" t="n"/>
      <c r="O76" s="42" t="n"/>
      <c r="P76" s="40" t="n"/>
      <c r="Q76" s="40" t="n"/>
      <c r="R76" s="108" t="n"/>
      <c r="S76" s="108" t="n"/>
      <c r="T76" s="165">
        <f>IF(Q76="","",IF(Q76="L",ABS((N76-M76)/(M76-K76)),IF(Q76="S",ABS((M76-N76)/(K76-M76)),"")))</f>
        <v/>
      </c>
      <c r="U76" s="41" t="n"/>
      <c r="V76" s="40" t="n"/>
      <c r="W76" s="42">
        <f>IF(V76="","",IF(V76="SL",L76+Y76,IF(V76="TP",O76+Y76,"")))</f>
        <v/>
      </c>
      <c r="X76" s="42" t="n"/>
      <c r="Y76" s="42" t="n"/>
      <c r="Z76" s="42">
        <f>IF(OR(V76="",V76="tp"),"",IF(V76="sl",T76,""))</f>
        <v/>
      </c>
      <c r="AA76" s="42">
        <f>IF(OR(V76="",V76="sl"),"",IF(V76="tp",T76,""))</f>
        <v/>
      </c>
    </row>
    <row r="77" spans="1:27">
      <c r="A77" s="40" t="n">
        <v>74</v>
      </c>
      <c r="B77" s="40" t="n"/>
      <c r="C77" s="41" t="n"/>
      <c r="D77" s="108" t="n"/>
      <c r="E77" s="108" t="n"/>
      <c r="F77" s="108" t="n"/>
      <c r="G77" s="108" t="n"/>
      <c r="H77" s="40" t="n"/>
      <c r="I77" s="40" t="n"/>
      <c r="J77" s="40" t="n"/>
      <c r="K77" s="108" t="n"/>
      <c r="L77" s="42" t="n"/>
      <c r="M77" s="108" t="n"/>
      <c r="N77" s="108" t="n"/>
      <c r="O77" s="42" t="n"/>
      <c r="P77" s="40" t="n"/>
      <c r="Q77" s="40" t="n"/>
      <c r="R77" s="108" t="n"/>
      <c r="S77" s="108" t="n"/>
      <c r="T77" s="165">
        <f>IF(Q77="","",IF(Q77="L",ABS((N77-M77)/(M77-K77)),IF(Q77="S",ABS((M77-N77)/(K77-M77)),"")))</f>
        <v/>
      </c>
      <c r="U77" s="41" t="n"/>
      <c r="V77" s="40" t="n"/>
      <c r="W77" s="42">
        <f>IF(V77="","",IF(V77="SL",L77+Y77,IF(V77="TP",O77+Y77,"")))</f>
        <v/>
      </c>
      <c r="X77" s="42" t="n"/>
      <c r="Y77" s="42" t="n"/>
      <c r="Z77" s="42">
        <f>IF(OR(V77="",V77="tp"),"",IF(V77="sl",T77,""))</f>
        <v/>
      </c>
      <c r="AA77" s="42">
        <f>IF(OR(V77="",V77="sl"),"",IF(V77="tp",T77,""))</f>
        <v/>
      </c>
    </row>
    <row r="78" spans="1:27">
      <c r="A78" s="40" t="n">
        <v>75</v>
      </c>
      <c r="B78" s="40" t="n"/>
      <c r="C78" s="41" t="n"/>
      <c r="D78" s="108" t="n"/>
      <c r="E78" s="108" t="n"/>
      <c r="F78" s="108" t="n"/>
      <c r="G78" s="108" t="n"/>
      <c r="H78" s="40" t="n"/>
      <c r="I78" s="40" t="n"/>
      <c r="J78" s="40" t="n"/>
      <c r="K78" s="108" t="n"/>
      <c r="L78" s="42" t="n"/>
      <c r="M78" s="108" t="n"/>
      <c r="N78" s="108" t="n"/>
      <c r="O78" s="42" t="n"/>
      <c r="P78" s="40" t="n"/>
      <c r="Q78" s="40" t="n"/>
      <c r="R78" s="108" t="n"/>
      <c r="S78" s="108" t="n"/>
      <c r="T78" s="165">
        <f>IF(Q78="","",IF(Q78="L",ABS((N78-M78)/(M78-K78)),IF(Q78="S",ABS((M78-N78)/(K78-M78)),"")))</f>
        <v/>
      </c>
      <c r="U78" s="41" t="n"/>
      <c r="V78" s="40" t="n"/>
      <c r="W78" s="42">
        <f>IF(V78="","",IF(V78="SL",L78+Y78,IF(V78="TP",O78+Y78,"")))</f>
        <v/>
      </c>
      <c r="X78" s="42" t="n"/>
      <c r="Y78" s="42" t="n"/>
      <c r="Z78" s="42">
        <f>IF(OR(V78="",V78="tp"),"",IF(V78="sl",T78,""))</f>
        <v/>
      </c>
      <c r="AA78" s="42">
        <f>IF(OR(V78="",V78="sl"),"",IF(V78="tp",T78,""))</f>
        <v/>
      </c>
    </row>
    <row r="79" spans="1:27">
      <c r="A79" s="40" t="n">
        <v>76</v>
      </c>
      <c r="B79" s="40" t="n"/>
      <c r="C79" s="41" t="n"/>
      <c r="D79" s="108" t="n"/>
      <c r="E79" s="108" t="n"/>
      <c r="F79" s="108" t="n"/>
      <c r="G79" s="108" t="n"/>
      <c r="H79" s="40" t="n"/>
      <c r="I79" s="40" t="n"/>
      <c r="J79" s="40" t="n"/>
      <c r="K79" s="108" t="n"/>
      <c r="L79" s="42" t="n"/>
      <c r="M79" s="108" t="n"/>
      <c r="N79" s="108" t="n"/>
      <c r="O79" s="42" t="n"/>
      <c r="P79" s="40" t="n"/>
      <c r="Q79" s="40" t="n"/>
      <c r="R79" s="108" t="n"/>
      <c r="S79" s="108" t="n"/>
      <c r="T79" s="165">
        <f>IF(Q79="","",IF(Q79="L",ABS((N79-M79)/(M79-K79)),IF(Q79="S",ABS((M79-N79)/(K79-M79)),"")))</f>
        <v/>
      </c>
      <c r="U79" s="41" t="n"/>
      <c r="V79" s="40" t="n"/>
      <c r="W79" s="42">
        <f>IF(V79="","",IF(V79="SL",L79+Y79,IF(V79="TP",O79+Y79,"")))</f>
        <v/>
      </c>
      <c r="X79" s="42" t="n"/>
      <c r="Y79" s="42" t="n"/>
      <c r="Z79" s="42">
        <f>IF(OR(V79="",V79="tp"),"",IF(V79="sl",T79,""))</f>
        <v/>
      </c>
      <c r="AA79" s="42">
        <f>IF(OR(V79="",V79="sl"),"",IF(V79="tp",T79,""))</f>
        <v/>
      </c>
    </row>
    <row r="80" spans="1:27">
      <c r="A80" s="40" t="n">
        <v>77</v>
      </c>
      <c r="B80" s="40" t="n"/>
      <c r="C80" s="41" t="n"/>
      <c r="D80" s="108" t="n"/>
      <c r="E80" s="108" t="n"/>
      <c r="F80" s="108" t="n"/>
      <c r="G80" s="108" t="n"/>
      <c r="H80" s="40" t="n"/>
      <c r="I80" s="40" t="n"/>
      <c r="J80" s="40" t="n"/>
      <c r="K80" s="108" t="n"/>
      <c r="L80" s="42" t="n"/>
      <c r="M80" s="108" t="n"/>
      <c r="N80" s="108" t="n"/>
      <c r="O80" s="42" t="n"/>
      <c r="P80" s="40" t="n"/>
      <c r="Q80" s="40" t="n"/>
      <c r="R80" s="108" t="n"/>
      <c r="S80" s="108" t="n"/>
      <c r="T80" s="165">
        <f>IF(Q80="","",IF(Q80="L",ABS((N80-M80)/(M80-K80)),IF(Q80="S",ABS((M80-N80)/(K80-M80)),"")))</f>
        <v/>
      </c>
      <c r="U80" s="41" t="n"/>
      <c r="V80" s="40" t="n"/>
      <c r="W80" s="42">
        <f>IF(V80="","",IF(V80="SL",L80+Y80,IF(V80="TP",O80+Y80,"")))</f>
        <v/>
      </c>
      <c r="X80" s="42" t="n"/>
      <c r="Y80" s="42" t="n"/>
      <c r="Z80" s="42">
        <f>IF(OR(V80="",V80="tp"),"",IF(V80="sl",T80,""))</f>
        <v/>
      </c>
      <c r="AA80" s="42">
        <f>IF(OR(V80="",V80="sl"),"",IF(V80="tp",T80,""))</f>
        <v/>
      </c>
    </row>
    <row r="81" spans="1:27">
      <c r="A81" s="40" t="n">
        <v>78</v>
      </c>
      <c r="B81" s="40" t="n"/>
      <c r="C81" s="41" t="n"/>
      <c r="D81" s="108" t="n"/>
      <c r="E81" s="108" t="n"/>
      <c r="F81" s="108" t="n"/>
      <c r="G81" s="108" t="n"/>
      <c r="H81" s="40" t="n"/>
      <c r="I81" s="40" t="n"/>
      <c r="J81" s="40" t="n"/>
      <c r="K81" s="108" t="n"/>
      <c r="L81" s="42" t="n"/>
      <c r="M81" s="108" t="n"/>
      <c r="N81" s="108" t="n"/>
      <c r="O81" s="42" t="n"/>
      <c r="P81" s="40" t="n"/>
      <c r="Q81" s="40" t="n"/>
      <c r="R81" s="108" t="n"/>
      <c r="S81" s="108" t="n"/>
      <c r="T81" s="165">
        <f>IF(Q81="","",IF(Q81="L",ABS((N81-M81)/(M81-K81)),IF(Q81="S",ABS((M81-N81)/(K81-M81)),"")))</f>
        <v/>
      </c>
      <c r="U81" s="41" t="n"/>
      <c r="V81" s="40" t="n"/>
      <c r="W81" s="42">
        <f>IF(V81="","",IF(V81="SL",L81+Y81,IF(V81="TP",O81+Y81,"")))</f>
        <v/>
      </c>
      <c r="X81" s="42" t="n"/>
      <c r="Y81" s="42" t="n"/>
      <c r="Z81" s="42">
        <f>IF(OR(V81="",V81="tp"),"",IF(V81="sl",T81,""))</f>
        <v/>
      </c>
      <c r="AA81" s="42">
        <f>IF(OR(V81="",V81="sl"),"",IF(V81="tp",T81,""))</f>
        <v/>
      </c>
    </row>
    <row r="82" spans="1:27">
      <c r="A82" s="40" t="n">
        <v>79</v>
      </c>
      <c r="B82" s="40" t="n"/>
      <c r="C82" s="41" t="n"/>
      <c r="D82" s="108" t="n"/>
      <c r="E82" s="108" t="n"/>
      <c r="F82" s="108" t="n"/>
      <c r="G82" s="108" t="n"/>
      <c r="H82" s="40" t="n"/>
      <c r="I82" s="40" t="n"/>
      <c r="J82" s="40" t="n"/>
      <c r="K82" s="108" t="n"/>
      <c r="L82" s="42" t="n"/>
      <c r="M82" s="108" t="n"/>
      <c r="N82" s="108" t="n"/>
      <c r="O82" s="42" t="n"/>
      <c r="P82" s="40" t="n"/>
      <c r="Q82" s="40" t="n"/>
      <c r="R82" s="108" t="n"/>
      <c r="S82" s="108" t="n"/>
      <c r="T82" s="165">
        <f>IF(Q82="","",IF(Q82="L",ABS((N82-M82)/(M82-K82)),IF(Q82="S",ABS((M82-N82)/(K82-M82)),"")))</f>
        <v/>
      </c>
      <c r="U82" s="41" t="n"/>
      <c r="V82" s="40" t="n"/>
      <c r="W82" s="42">
        <f>IF(V82="","",IF(V82="SL",L82+Y82,IF(V82="TP",O82+Y82,"")))</f>
        <v/>
      </c>
      <c r="X82" s="42" t="n"/>
      <c r="Y82" s="42" t="n"/>
      <c r="Z82" s="42">
        <f>IF(OR(V82="",V82="tp"),"",IF(V82="sl",T82,""))</f>
        <v/>
      </c>
      <c r="AA82" s="42">
        <f>IF(OR(V82="",V82="sl"),"",IF(V82="tp",T82,""))</f>
        <v/>
      </c>
    </row>
    <row r="83" spans="1:27">
      <c r="A83" s="40" t="n">
        <v>80</v>
      </c>
      <c r="B83" s="40" t="n"/>
      <c r="C83" s="41" t="n"/>
      <c r="D83" s="108" t="n"/>
      <c r="E83" s="108" t="n"/>
      <c r="F83" s="108" t="n"/>
      <c r="G83" s="108" t="n"/>
      <c r="H83" s="40" t="n"/>
      <c r="I83" s="40" t="n"/>
      <c r="J83" s="40" t="n"/>
      <c r="K83" s="108" t="n"/>
      <c r="L83" s="42" t="n"/>
      <c r="M83" s="108" t="n"/>
      <c r="N83" s="108" t="n"/>
      <c r="O83" s="42" t="n"/>
      <c r="P83" s="40" t="n"/>
      <c r="Q83" s="40" t="n"/>
      <c r="R83" s="108" t="n"/>
      <c r="S83" s="108" t="n"/>
      <c r="T83" s="165">
        <f>IF(Q83="","",IF(Q83="L",ABS((N83-M83)/(M83-K83)),IF(Q83="S",ABS((M83-N83)/(K83-M83)),"")))</f>
        <v/>
      </c>
      <c r="U83" s="41" t="n"/>
      <c r="V83" s="40" t="n"/>
      <c r="W83" s="42">
        <f>IF(V83="","",IF(V83="SL",L83+Y83,IF(V83="TP",O83+Y83,"")))</f>
        <v/>
      </c>
      <c r="X83" s="42" t="n"/>
      <c r="Y83" s="42" t="n"/>
      <c r="Z83" s="42">
        <f>IF(OR(V83="",V83="tp"),"",IF(V83="sl",T83,""))</f>
        <v/>
      </c>
      <c r="AA83" s="42">
        <f>IF(OR(V83="",V83="sl"),"",IF(V83="tp",T83,""))</f>
        <v/>
      </c>
    </row>
    <row r="84" spans="1:27">
      <c r="A84" s="40" t="n">
        <v>81</v>
      </c>
      <c r="B84" s="40" t="n"/>
      <c r="C84" s="41" t="n"/>
      <c r="D84" s="108" t="n"/>
      <c r="E84" s="108" t="n"/>
      <c r="F84" s="108" t="n"/>
      <c r="G84" s="108" t="n"/>
      <c r="H84" s="40" t="n"/>
      <c r="I84" s="40" t="n"/>
      <c r="J84" s="40" t="n"/>
      <c r="K84" s="108" t="n"/>
      <c r="L84" s="42" t="n"/>
      <c r="M84" s="108" t="n"/>
      <c r="N84" s="108" t="n"/>
      <c r="O84" s="42" t="n"/>
      <c r="P84" s="40" t="n"/>
      <c r="Q84" s="40" t="n"/>
      <c r="R84" s="108" t="n"/>
      <c r="S84" s="108" t="n"/>
      <c r="T84" s="165">
        <f>IF(Q84="","",IF(Q84="L",ABS((N84-M84)/(M84-K84)),IF(Q84="S",ABS((M84-N84)/(K84-M84)),"")))</f>
        <v/>
      </c>
      <c r="U84" s="41" t="n"/>
      <c r="V84" s="40" t="n"/>
      <c r="W84" s="42">
        <f>IF(V84="","",IF(V84="SL",L84+Y84,IF(V84="TP",O84+Y84,"")))</f>
        <v/>
      </c>
      <c r="X84" s="42" t="n"/>
      <c r="Y84" s="42" t="n"/>
      <c r="Z84" s="42">
        <f>IF(OR(V84="",V84="tp"),"",IF(V84="sl",T84,""))</f>
        <v/>
      </c>
      <c r="AA84" s="42">
        <f>IF(OR(V84="",V84="sl"),"",IF(V84="tp",T84,""))</f>
        <v/>
      </c>
    </row>
    <row r="85" spans="1:27">
      <c r="A85" s="40" t="n">
        <v>82</v>
      </c>
      <c r="B85" s="40" t="n"/>
      <c r="C85" s="41" t="n"/>
      <c r="D85" s="108" t="n"/>
      <c r="E85" s="108" t="n"/>
      <c r="F85" s="108" t="n"/>
      <c r="G85" s="108" t="n"/>
      <c r="H85" s="40" t="n"/>
      <c r="I85" s="40" t="n"/>
      <c r="J85" s="40" t="n"/>
      <c r="K85" s="108" t="n"/>
      <c r="L85" s="42" t="n"/>
      <c r="M85" s="108" t="n"/>
      <c r="N85" s="108" t="n"/>
      <c r="O85" s="42" t="n"/>
      <c r="P85" s="40" t="n"/>
      <c r="Q85" s="40" t="n"/>
      <c r="R85" s="108" t="n"/>
      <c r="S85" s="108" t="n"/>
      <c r="T85" s="165">
        <f>IF(Q85="","",IF(Q85="L",ABS((N85-M85)/(M85-K85)),IF(Q85="S",ABS((M85-N85)/(K85-M85)),"")))</f>
        <v/>
      </c>
      <c r="U85" s="41" t="n"/>
      <c r="V85" s="40" t="n"/>
      <c r="W85" s="42">
        <f>IF(V85="","",IF(V85="SL",L85+Y85,IF(V85="TP",O85+Y85,"")))</f>
        <v/>
      </c>
      <c r="X85" s="42" t="n"/>
      <c r="Y85" s="42" t="n"/>
      <c r="Z85" s="42">
        <f>IF(OR(V85="",V85="tp"),"",IF(V85="sl",T85,""))</f>
        <v/>
      </c>
      <c r="AA85" s="42">
        <f>IF(OR(V85="",V85="sl"),"",IF(V85="tp",T85,""))</f>
        <v/>
      </c>
    </row>
    <row r="86" spans="1:27">
      <c r="A86" s="40" t="n">
        <v>83</v>
      </c>
      <c r="B86" s="40" t="n"/>
      <c r="C86" s="41" t="n"/>
      <c r="D86" s="108" t="n"/>
      <c r="E86" s="108" t="n"/>
      <c r="F86" s="108" t="n"/>
      <c r="G86" s="108" t="n"/>
      <c r="H86" s="40" t="n"/>
      <c r="I86" s="40" t="n"/>
      <c r="J86" s="40" t="n"/>
      <c r="K86" s="108" t="n"/>
      <c r="L86" s="42" t="n"/>
      <c r="M86" s="108" t="n"/>
      <c r="N86" s="108" t="n"/>
      <c r="O86" s="42" t="n"/>
      <c r="P86" s="40" t="n"/>
      <c r="Q86" s="40" t="n"/>
      <c r="R86" s="108" t="n"/>
      <c r="S86" s="108" t="n"/>
      <c r="T86" s="165">
        <f>IF(Q86="","",IF(Q86="L",ABS((N86-M86)/(M86-K86)),IF(Q86="S",ABS((M86-N86)/(K86-M86)),"")))</f>
        <v/>
      </c>
      <c r="U86" s="41" t="n"/>
      <c r="V86" s="40" t="n"/>
      <c r="W86" s="42">
        <f>IF(V86="","",IF(V86="SL",L86+Y86,IF(V86="TP",O86+Y86,"")))</f>
        <v/>
      </c>
      <c r="X86" s="42" t="n"/>
      <c r="Y86" s="42" t="n"/>
      <c r="Z86" s="42">
        <f>IF(OR(V86="",V86="tp"),"",IF(V86="sl",T86,""))</f>
        <v/>
      </c>
      <c r="AA86" s="42">
        <f>IF(OR(V86="",V86="sl"),"",IF(V86="tp",T86,""))</f>
        <v/>
      </c>
    </row>
    <row r="87" spans="1:27">
      <c r="A87" s="40" t="n">
        <v>84</v>
      </c>
      <c r="B87" s="40" t="n"/>
      <c r="C87" s="41" t="n"/>
      <c r="D87" s="108" t="n"/>
      <c r="E87" s="108" t="n"/>
      <c r="F87" s="108" t="n"/>
      <c r="G87" s="108" t="n"/>
      <c r="H87" s="40" t="n"/>
      <c r="I87" s="40" t="n"/>
      <c r="J87" s="40" t="n"/>
      <c r="K87" s="108" t="n"/>
      <c r="L87" s="42" t="n"/>
      <c r="M87" s="108" t="n"/>
      <c r="N87" s="108" t="n"/>
      <c r="O87" s="42" t="n"/>
      <c r="P87" s="40" t="n"/>
      <c r="Q87" s="40" t="n"/>
      <c r="R87" s="108" t="n"/>
      <c r="S87" s="108" t="n"/>
      <c r="T87" s="165">
        <f>IF(Q87="","",IF(Q87="L",ABS((N87-M87)/(M87-K87)),IF(Q87="S",ABS((M87-N87)/(K87-M87)),"")))</f>
        <v/>
      </c>
      <c r="U87" s="41" t="n"/>
      <c r="V87" s="40" t="n"/>
      <c r="W87" s="42">
        <f>IF(V87="","",IF(V87="SL",L87+Y87,IF(V87="TP",O87+Y87,"")))</f>
        <v/>
      </c>
      <c r="X87" s="42" t="n"/>
      <c r="Y87" s="42" t="n"/>
      <c r="Z87" s="42">
        <f>IF(OR(V87="",V87="tp"),"",IF(V87="sl",T87,""))</f>
        <v/>
      </c>
      <c r="AA87" s="42">
        <f>IF(OR(V87="",V87="sl"),"",IF(V87="tp",T87,""))</f>
        <v/>
      </c>
    </row>
    <row r="88" spans="1:27">
      <c r="A88" s="40" t="n">
        <v>85</v>
      </c>
      <c r="B88" s="40" t="n"/>
      <c r="C88" s="41" t="n"/>
      <c r="D88" s="108" t="n"/>
      <c r="E88" s="108" t="n"/>
      <c r="F88" s="108" t="n"/>
      <c r="G88" s="108" t="n"/>
      <c r="H88" s="40" t="n"/>
      <c r="I88" s="40" t="n"/>
      <c r="J88" s="40" t="n"/>
      <c r="K88" s="108" t="n"/>
      <c r="L88" s="42" t="n"/>
      <c r="M88" s="108" t="n"/>
      <c r="N88" s="108" t="n"/>
      <c r="O88" s="42" t="n"/>
      <c r="P88" s="40" t="n"/>
      <c r="Q88" s="40" t="n"/>
      <c r="R88" s="108" t="n"/>
      <c r="S88" s="108" t="n"/>
      <c r="T88" s="165">
        <f>IF(Q88="","",IF(Q88="L",ABS((N88-M88)/(M88-K88)),IF(Q88="S",ABS((M88-N88)/(K88-M88)),"")))</f>
        <v/>
      </c>
      <c r="U88" s="41" t="n"/>
      <c r="V88" s="40" t="n"/>
      <c r="W88" s="42">
        <f>IF(V88="","",IF(V88="SL",L88+Y88,IF(V88="TP",O88+Y88,"")))</f>
        <v/>
      </c>
      <c r="X88" s="42" t="n"/>
      <c r="Y88" s="42" t="n"/>
      <c r="Z88" s="42">
        <f>IF(OR(V88="",V88="tp"),"",IF(V88="sl",T88,""))</f>
        <v/>
      </c>
      <c r="AA88" s="42">
        <f>IF(OR(V88="",V88="sl"),"",IF(V88="tp",T88,""))</f>
        <v/>
      </c>
    </row>
    <row r="89" spans="1:27">
      <c r="A89" s="40" t="n">
        <v>86</v>
      </c>
      <c r="B89" s="40" t="n"/>
      <c r="C89" s="41" t="n"/>
      <c r="D89" s="108" t="n"/>
      <c r="E89" s="108" t="n"/>
      <c r="F89" s="108" t="n"/>
      <c r="G89" s="108" t="n"/>
      <c r="H89" s="40" t="n"/>
      <c r="I89" s="40" t="n"/>
      <c r="J89" s="40" t="n"/>
      <c r="K89" s="108" t="n"/>
      <c r="L89" s="42" t="n"/>
      <c r="M89" s="108" t="n"/>
      <c r="N89" s="108" t="n"/>
      <c r="O89" s="42" t="n"/>
      <c r="P89" s="40" t="n"/>
      <c r="Q89" s="40" t="n"/>
      <c r="R89" s="108" t="n"/>
      <c r="S89" s="108" t="n"/>
      <c r="T89" s="165">
        <f>IF(Q89="","",IF(Q89="L",ABS((N89-M89)/(M89-K89)),IF(Q89="S",ABS((M89-N89)/(K89-M89)),"")))</f>
        <v/>
      </c>
      <c r="U89" s="41" t="n"/>
      <c r="V89" s="40" t="n"/>
      <c r="W89" s="42">
        <f>IF(V89="","",IF(V89="SL",L89+Y89,IF(V89="TP",O89+Y89,"")))</f>
        <v/>
      </c>
      <c r="X89" s="42" t="n"/>
      <c r="Y89" s="42" t="n"/>
      <c r="Z89" s="42">
        <f>IF(OR(V89="",V89="tp"),"",IF(V89="sl",T89,""))</f>
        <v/>
      </c>
      <c r="AA89" s="42">
        <f>IF(OR(V89="",V89="sl"),"",IF(V89="tp",T89,""))</f>
        <v/>
      </c>
    </row>
    <row r="90" spans="1:27">
      <c r="A90" s="40" t="n">
        <v>87</v>
      </c>
      <c r="B90" s="40" t="n"/>
      <c r="C90" s="41" t="n"/>
      <c r="D90" s="108" t="n"/>
      <c r="E90" s="108" t="n"/>
      <c r="F90" s="108" t="n"/>
      <c r="G90" s="108" t="n"/>
      <c r="H90" s="40" t="n"/>
      <c r="I90" s="40" t="n"/>
      <c r="J90" s="40" t="n"/>
      <c r="K90" s="108" t="n"/>
      <c r="L90" s="42" t="n"/>
      <c r="M90" s="108" t="n"/>
      <c r="N90" s="108" t="n"/>
      <c r="O90" s="42" t="n"/>
      <c r="P90" s="40" t="n"/>
      <c r="Q90" s="40" t="n"/>
      <c r="R90" s="108" t="n"/>
      <c r="S90" s="108" t="n"/>
      <c r="T90" s="165">
        <f>IF(Q90="","",IF(Q90="L",ABS((N90-M90)/(M90-K90)),IF(Q90="S",ABS((M90-N90)/(K90-M90)),"")))</f>
        <v/>
      </c>
      <c r="U90" s="41" t="n"/>
      <c r="V90" s="40" t="n"/>
      <c r="W90" s="42">
        <f>IF(V90="","",IF(V90="SL",L90+Y90,IF(V90="TP",O90+Y90,"")))</f>
        <v/>
      </c>
      <c r="X90" s="42" t="n"/>
      <c r="Y90" s="42" t="n"/>
      <c r="Z90" s="42">
        <f>IF(OR(V90="",V90="tp"),"",IF(V90="sl",T90,""))</f>
        <v/>
      </c>
      <c r="AA90" s="42">
        <f>IF(OR(V90="",V90="sl"),"",IF(V90="tp",T90,""))</f>
        <v/>
      </c>
    </row>
    <row r="91" spans="1:27">
      <c r="A91" s="40" t="n">
        <v>88</v>
      </c>
      <c r="B91" s="40" t="n"/>
      <c r="C91" s="41" t="n"/>
      <c r="D91" s="108" t="n"/>
      <c r="E91" s="108" t="n"/>
      <c r="F91" s="108" t="n"/>
      <c r="G91" s="108" t="n"/>
      <c r="H91" s="40" t="n"/>
      <c r="I91" s="40" t="n"/>
      <c r="J91" s="40" t="n"/>
      <c r="K91" s="108" t="n"/>
      <c r="L91" s="42" t="n"/>
      <c r="M91" s="108" t="n"/>
      <c r="N91" s="108" t="n"/>
      <c r="O91" s="42" t="n"/>
      <c r="P91" s="40" t="n"/>
      <c r="Q91" s="40" t="n"/>
      <c r="R91" s="108" t="n"/>
      <c r="S91" s="108" t="n"/>
      <c r="T91" s="165">
        <f>IF(Q91="","",IF(Q91="L",ABS((N91-M91)/(M91-K91)),IF(Q91="S",ABS((M91-N91)/(K91-M91)),"")))</f>
        <v/>
      </c>
      <c r="U91" s="41" t="n"/>
      <c r="V91" s="40" t="n"/>
      <c r="W91" s="42">
        <f>IF(V91="","",IF(V91="SL",L91+Y91,IF(V91="TP",O91+Y91,"")))</f>
        <v/>
      </c>
      <c r="X91" s="42" t="n"/>
      <c r="Y91" s="42" t="n"/>
      <c r="Z91" s="42">
        <f>IF(OR(V91="",V91="tp"),"",IF(V91="sl",T91,""))</f>
        <v/>
      </c>
      <c r="AA91" s="42">
        <f>IF(OR(V91="",V91="sl"),"",IF(V91="tp",T91,""))</f>
        <v/>
      </c>
    </row>
    <row r="92" spans="1:27">
      <c r="A92" s="40" t="n">
        <v>89</v>
      </c>
      <c r="B92" s="40" t="n"/>
      <c r="C92" s="41" t="n"/>
      <c r="D92" s="108" t="n"/>
      <c r="E92" s="108" t="n"/>
      <c r="F92" s="108" t="n"/>
      <c r="G92" s="108" t="n"/>
      <c r="H92" s="40" t="n"/>
      <c r="I92" s="40" t="n"/>
      <c r="J92" s="40" t="n"/>
      <c r="K92" s="108" t="n"/>
      <c r="L92" s="42" t="n"/>
      <c r="M92" s="108" t="n"/>
      <c r="N92" s="108" t="n"/>
      <c r="O92" s="42" t="n"/>
      <c r="P92" s="40" t="n"/>
      <c r="Q92" s="40" t="n"/>
      <c r="R92" s="108" t="n"/>
      <c r="S92" s="108" t="n"/>
      <c r="T92" s="165">
        <f>IF(Q92="","",IF(Q92="L",ABS((N92-M92)/(M92-K92)),IF(Q92="S",ABS((M92-N92)/(K92-M92)),"")))</f>
        <v/>
      </c>
      <c r="U92" s="41" t="n"/>
      <c r="V92" s="40" t="n"/>
      <c r="W92" s="42">
        <f>IF(V92="","",IF(V92="SL",L92+Y92,IF(V92="TP",O92+Y92,"")))</f>
        <v/>
      </c>
      <c r="X92" s="42" t="n"/>
      <c r="Y92" s="42" t="n"/>
      <c r="Z92" s="42">
        <f>IF(OR(V92="",V92="tp"),"",IF(V92="sl",T92,""))</f>
        <v/>
      </c>
      <c r="AA92" s="42">
        <f>IF(OR(V92="",V92="sl"),"",IF(V92="tp",T92,""))</f>
        <v/>
      </c>
    </row>
    <row r="93" spans="1:27">
      <c r="A93" s="40" t="n">
        <v>90</v>
      </c>
      <c r="B93" s="40" t="n"/>
      <c r="C93" s="41" t="n"/>
      <c r="D93" s="108" t="n"/>
      <c r="E93" s="108" t="n"/>
      <c r="F93" s="108" t="n"/>
      <c r="G93" s="108" t="n"/>
      <c r="H93" s="40" t="n"/>
      <c r="I93" s="40" t="n"/>
      <c r="J93" s="40" t="n"/>
      <c r="K93" s="108" t="n"/>
      <c r="L93" s="42" t="n"/>
      <c r="M93" s="108" t="n"/>
      <c r="N93" s="108" t="n"/>
      <c r="O93" s="42" t="n"/>
      <c r="P93" s="40" t="n"/>
      <c r="Q93" s="40" t="n"/>
      <c r="R93" s="108" t="n"/>
      <c r="S93" s="108" t="n"/>
      <c r="T93" s="165">
        <f>IF(Q93="","",IF(Q93="L",ABS((N93-M93)/(M93-K93)),IF(Q93="S",ABS((M93-N93)/(K93-M93)),"")))</f>
        <v/>
      </c>
      <c r="U93" s="41" t="n"/>
      <c r="V93" s="40" t="n"/>
      <c r="W93" s="42">
        <f>IF(V93="","",IF(V93="SL",L93+Y93,IF(V93="TP",O93+Y93,"")))</f>
        <v/>
      </c>
      <c r="X93" s="42" t="n"/>
      <c r="Y93" s="42" t="n"/>
      <c r="Z93" s="42">
        <f>IF(OR(V93="",V93="tp"),"",IF(V93="sl",T93,""))</f>
        <v/>
      </c>
      <c r="AA93" s="42">
        <f>IF(OR(V93="",V93="sl"),"",IF(V93="tp",T93,""))</f>
        <v/>
      </c>
    </row>
    <row r="94" spans="1:27">
      <c r="A94" s="40" t="n">
        <v>91</v>
      </c>
      <c r="B94" s="40" t="n"/>
      <c r="C94" s="41" t="n"/>
      <c r="D94" s="108" t="n"/>
      <c r="E94" s="108" t="n"/>
      <c r="F94" s="108" t="n"/>
      <c r="G94" s="108" t="n"/>
      <c r="H94" s="40" t="n"/>
      <c r="I94" s="40" t="n"/>
      <c r="J94" s="40" t="n"/>
      <c r="K94" s="108" t="n"/>
      <c r="L94" s="42" t="n"/>
      <c r="M94" s="108" t="n"/>
      <c r="N94" s="108" t="n"/>
      <c r="O94" s="42" t="n"/>
      <c r="P94" s="40" t="n"/>
      <c r="Q94" s="40" t="n"/>
      <c r="R94" s="108" t="n"/>
      <c r="S94" s="108" t="n"/>
      <c r="T94" s="165">
        <f>IF(Q94="","",IF(Q94="L",ABS((N94-M94)/(M94-K94)),IF(Q94="S",ABS((M94-N94)/(K94-M94)),"")))</f>
        <v/>
      </c>
      <c r="U94" s="41" t="n"/>
      <c r="V94" s="40" t="n"/>
      <c r="W94" s="42">
        <f>IF(V94="","",IF(V94="SL",L94+Y94,IF(V94="TP",O94+Y94,"")))</f>
        <v/>
      </c>
      <c r="X94" s="42" t="n"/>
      <c r="Y94" s="42" t="n"/>
      <c r="Z94" s="42">
        <f>IF(OR(V94="",V94="tp"),"",IF(V94="sl",T94,""))</f>
        <v/>
      </c>
      <c r="AA94" s="42">
        <f>IF(OR(V94="",V94="sl"),"",IF(V94="tp",T94,""))</f>
        <v/>
      </c>
    </row>
    <row r="95" spans="1:27">
      <c r="A95" s="40" t="n">
        <v>92</v>
      </c>
      <c r="B95" s="40" t="n"/>
      <c r="C95" s="41" t="n"/>
      <c r="D95" s="108" t="n"/>
      <c r="E95" s="108" t="n"/>
      <c r="F95" s="108" t="n"/>
      <c r="G95" s="108" t="n"/>
      <c r="H95" s="40" t="n"/>
      <c r="I95" s="40" t="n"/>
      <c r="J95" s="40" t="n"/>
      <c r="K95" s="108" t="n"/>
      <c r="L95" s="42" t="n"/>
      <c r="M95" s="108" t="n"/>
      <c r="N95" s="108" t="n"/>
      <c r="O95" s="42" t="n"/>
      <c r="P95" s="40" t="n"/>
      <c r="Q95" s="40" t="n"/>
      <c r="R95" s="108" t="n"/>
      <c r="S95" s="108" t="n"/>
      <c r="T95" s="165">
        <f>IF(Q95="","",IF(Q95="L",ABS((N95-M95)/(M95-K95)),IF(Q95="S",ABS((M95-N95)/(K95-M95)),"")))</f>
        <v/>
      </c>
      <c r="U95" s="41" t="n"/>
      <c r="V95" s="40" t="n"/>
      <c r="W95" s="42">
        <f>IF(V95="","",IF(V95="SL",L95+Y95,IF(V95="TP",O95+Y95,"")))</f>
        <v/>
      </c>
      <c r="X95" s="42" t="n"/>
      <c r="Y95" s="42" t="n"/>
      <c r="Z95" s="42">
        <f>IF(OR(V95="",V95="tp"),"",IF(V95="sl",T95,""))</f>
        <v/>
      </c>
      <c r="AA95" s="42">
        <f>IF(OR(V95="",V95="sl"),"",IF(V95="tp",T95,""))</f>
        <v/>
      </c>
    </row>
    <row r="96" spans="1:27">
      <c r="A96" s="40" t="n">
        <v>93</v>
      </c>
      <c r="B96" s="40" t="n"/>
      <c r="C96" s="41" t="n"/>
      <c r="D96" s="108" t="n"/>
      <c r="E96" s="108" t="n"/>
      <c r="F96" s="108" t="n"/>
      <c r="G96" s="108" t="n"/>
      <c r="H96" s="40" t="n"/>
      <c r="I96" s="40" t="n"/>
      <c r="J96" s="40" t="n"/>
      <c r="K96" s="108" t="n"/>
      <c r="L96" s="42" t="n"/>
      <c r="M96" s="108" t="n"/>
      <c r="N96" s="108" t="n"/>
      <c r="O96" s="42" t="n"/>
      <c r="P96" s="40" t="n"/>
      <c r="Q96" s="40" t="n"/>
      <c r="R96" s="108" t="n"/>
      <c r="S96" s="108" t="n"/>
      <c r="T96" s="165">
        <f>IF(Q96="","",IF(Q96="L",ABS((N96-M96)/(M96-K96)),IF(Q96="S",ABS((M96-N96)/(K96-M96)),"")))</f>
        <v/>
      </c>
      <c r="U96" s="41" t="n"/>
      <c r="V96" s="40" t="n"/>
      <c r="W96" s="42">
        <f>IF(V96="","",IF(V96="SL",L96+Y96,IF(V96="TP",O96+Y96,"")))</f>
        <v/>
      </c>
      <c r="X96" s="42" t="n"/>
      <c r="Y96" s="42" t="n"/>
      <c r="Z96" s="42">
        <f>IF(OR(V96="",V96="tp"),"",IF(V96="sl",T96,""))</f>
        <v/>
      </c>
      <c r="AA96" s="42">
        <f>IF(OR(V96="",V96="sl"),"",IF(V96="tp",T96,""))</f>
        <v/>
      </c>
    </row>
    <row r="97" spans="1:27">
      <c r="A97" s="40" t="n">
        <v>94</v>
      </c>
      <c r="B97" s="40" t="n"/>
      <c r="C97" s="41" t="n"/>
      <c r="D97" s="108" t="n"/>
      <c r="E97" s="108" t="n"/>
      <c r="F97" s="108" t="n"/>
      <c r="G97" s="108" t="n"/>
      <c r="H97" s="40" t="n"/>
      <c r="I97" s="40" t="n"/>
      <c r="J97" s="40" t="n"/>
      <c r="K97" s="108" t="n"/>
      <c r="L97" s="42" t="n"/>
      <c r="M97" s="108" t="n"/>
      <c r="N97" s="108" t="n"/>
      <c r="O97" s="42" t="n"/>
      <c r="P97" s="40" t="n"/>
      <c r="Q97" s="40" t="n"/>
      <c r="R97" s="108" t="n"/>
      <c r="S97" s="108" t="n"/>
      <c r="T97" s="165">
        <f>IF(Q97="","",IF(Q97="L",ABS((N97-M97)/(M97-K97)),IF(Q97="S",ABS((M97-N97)/(K97-M97)),"")))</f>
        <v/>
      </c>
      <c r="U97" s="41" t="n"/>
      <c r="V97" s="40" t="n"/>
      <c r="W97" s="42">
        <f>IF(V97="","",IF(V97="SL",L97+Y97,IF(V97="TP",O97+Y97,"")))</f>
        <v/>
      </c>
      <c r="X97" s="42" t="n"/>
      <c r="Y97" s="42" t="n"/>
      <c r="Z97" s="42">
        <f>IF(OR(V97="",V97="tp"),"",IF(V97="sl",T97,""))</f>
        <v/>
      </c>
      <c r="AA97" s="42">
        <f>IF(OR(V97="",V97="sl"),"",IF(V97="tp",T97,""))</f>
        <v/>
      </c>
    </row>
    <row r="98" spans="1:27">
      <c r="A98" s="40" t="n">
        <v>95</v>
      </c>
      <c r="B98" s="40" t="n"/>
      <c r="C98" s="41" t="n"/>
      <c r="D98" s="108" t="n"/>
      <c r="E98" s="108" t="n"/>
      <c r="F98" s="108" t="n"/>
      <c r="G98" s="108" t="n"/>
      <c r="H98" s="40" t="n"/>
      <c r="I98" s="40" t="n"/>
      <c r="J98" s="40" t="n"/>
      <c r="K98" s="108" t="n"/>
      <c r="L98" s="42" t="n"/>
      <c r="M98" s="108" t="n"/>
      <c r="N98" s="108" t="n"/>
      <c r="O98" s="42" t="n"/>
      <c r="P98" s="40" t="n"/>
      <c r="Q98" s="40" t="n"/>
      <c r="R98" s="108" t="n"/>
      <c r="S98" s="108" t="n"/>
      <c r="T98" s="165">
        <f>IF(Q98="","",IF(Q98="L",ABS((N98-M98)/(M98-K98)),IF(Q98="S",ABS((M98-N98)/(K98-M98)),"")))</f>
        <v/>
      </c>
      <c r="U98" s="41" t="n"/>
      <c r="V98" s="40" t="n"/>
      <c r="W98" s="42">
        <f>IF(V98="","",IF(V98="SL",L98+Y98,IF(V98="TP",O98+Y98,"")))</f>
        <v/>
      </c>
      <c r="X98" s="42" t="n"/>
      <c r="Y98" s="42" t="n"/>
      <c r="Z98" s="42">
        <f>IF(OR(V98="",V98="tp"),"",IF(V98="sl",T98,""))</f>
        <v/>
      </c>
      <c r="AA98" s="42">
        <f>IF(OR(V98="",V98="sl"),"",IF(V98="tp",T98,""))</f>
        <v/>
      </c>
    </row>
    <row r="99" spans="1:27">
      <c r="A99" s="40" t="n">
        <v>96</v>
      </c>
      <c r="B99" s="40" t="n"/>
      <c r="C99" s="41" t="n"/>
      <c r="D99" s="108" t="n"/>
      <c r="E99" s="108" t="n"/>
      <c r="F99" s="108" t="n"/>
      <c r="G99" s="108" t="n"/>
      <c r="H99" s="40" t="n"/>
      <c r="I99" s="40" t="n"/>
      <c r="J99" s="40" t="n"/>
      <c r="K99" s="108" t="n"/>
      <c r="L99" s="42" t="n"/>
      <c r="M99" s="108" t="n"/>
      <c r="N99" s="108" t="n"/>
      <c r="O99" s="42" t="n"/>
      <c r="P99" s="40" t="n"/>
      <c r="Q99" s="40" t="n"/>
      <c r="R99" s="108" t="n"/>
      <c r="S99" s="108" t="n"/>
      <c r="T99" s="165">
        <f>IF(Q99="","",IF(Q99="L",ABS((N99-M99)/(M99-K99)),IF(Q99="S",ABS((M99-N99)/(K99-M99)),"")))</f>
        <v/>
      </c>
      <c r="U99" s="41" t="n"/>
      <c r="V99" s="40" t="n"/>
      <c r="W99" s="42">
        <f>IF(V99="","",IF(V99="SL",L99+Y99,IF(V99="TP",O99+Y99,"")))</f>
        <v/>
      </c>
      <c r="X99" s="42" t="n"/>
      <c r="Y99" s="42" t="n"/>
      <c r="Z99" s="42">
        <f>IF(OR(V99="",V99="tp"),"",IF(V99="sl",T99,""))</f>
        <v/>
      </c>
      <c r="AA99" s="42">
        <f>IF(OR(V99="",V99="sl"),"",IF(V99="tp",T99,""))</f>
        <v/>
      </c>
    </row>
    <row r="100" spans="1:27">
      <c r="A100" s="40" t="n">
        <v>97</v>
      </c>
      <c r="B100" s="40" t="n"/>
      <c r="C100" s="41" t="n"/>
      <c r="D100" s="108" t="n"/>
      <c r="E100" s="108" t="n"/>
      <c r="F100" s="108" t="n"/>
      <c r="G100" s="108" t="n"/>
      <c r="H100" s="40" t="n"/>
      <c r="I100" s="40" t="n"/>
      <c r="J100" s="40" t="n"/>
      <c r="K100" s="108" t="n"/>
      <c r="L100" s="42" t="n"/>
      <c r="M100" s="108" t="n"/>
      <c r="N100" s="108" t="n"/>
      <c r="O100" s="42" t="n"/>
      <c r="P100" s="40" t="n"/>
      <c r="Q100" s="40" t="n"/>
      <c r="R100" s="108" t="n"/>
      <c r="S100" s="108" t="n"/>
      <c r="T100" s="165">
        <f>IF(Q100="","",IF(Q100="L",ABS((N100-M100)/(M100-K100)),IF(Q100="S",ABS((M100-N100)/(K100-M100)),"")))</f>
        <v/>
      </c>
      <c r="U100" s="41" t="n"/>
      <c r="V100" s="40" t="n"/>
      <c r="W100" s="42">
        <f>IF(V100="","",IF(V100="SL",L100+Y100,IF(V100="TP",O100+Y100,"")))</f>
        <v/>
      </c>
      <c r="X100" s="42" t="n"/>
      <c r="Y100" s="42" t="n"/>
      <c r="Z100" s="42">
        <f>IF(OR(V100="",V100="tp"),"",IF(V100="sl",T100,""))</f>
        <v/>
      </c>
      <c r="AA100" s="42">
        <f>IF(OR(V100="",V100="sl"),"",IF(V100="tp",T100,""))</f>
        <v/>
      </c>
    </row>
    <row r="101" spans="1:27">
      <c r="A101" s="40" t="n">
        <v>98</v>
      </c>
      <c r="B101" s="40" t="n"/>
      <c r="C101" s="41" t="n"/>
      <c r="D101" s="108" t="n"/>
      <c r="E101" s="108" t="n"/>
      <c r="F101" s="108" t="n"/>
      <c r="G101" s="108" t="n"/>
      <c r="H101" s="40" t="n"/>
      <c r="I101" s="40" t="n"/>
      <c r="J101" s="40" t="n"/>
      <c r="K101" s="108" t="n"/>
      <c r="L101" s="42" t="n"/>
      <c r="M101" s="108" t="n"/>
      <c r="N101" s="108" t="n"/>
      <c r="O101" s="42" t="n"/>
      <c r="P101" s="40" t="n"/>
      <c r="Q101" s="40" t="n"/>
      <c r="R101" s="108" t="n"/>
      <c r="S101" s="108" t="n"/>
      <c r="T101" s="165">
        <f>IF(Q101="","",IF(Q101="L",ABS((N101-M101)/(M101-K101)),IF(Q101="S",ABS((M101-N101)/(K101-M101)),"")))</f>
        <v/>
      </c>
      <c r="U101" s="41" t="n"/>
      <c r="V101" s="40" t="n"/>
      <c r="W101" s="42">
        <f>IF(V101="","",IF(V101="SL",L101+Y101,IF(V101="TP",O101+Y101,"")))</f>
        <v/>
      </c>
      <c r="X101" s="42" t="n"/>
      <c r="Y101" s="42" t="n"/>
      <c r="Z101" s="42">
        <f>IF(OR(V101="",V101="tp"),"",IF(V101="sl",T101,""))</f>
        <v/>
      </c>
      <c r="AA101" s="42">
        <f>IF(OR(V101="",V101="sl"),"",IF(V101="tp",T101,""))</f>
        <v/>
      </c>
    </row>
    <row r="102" spans="1:27">
      <c r="A102" s="40" t="n">
        <v>99</v>
      </c>
      <c r="B102" s="40" t="n"/>
      <c r="C102" s="41" t="n"/>
      <c r="D102" s="108" t="n"/>
      <c r="E102" s="108" t="n"/>
      <c r="F102" s="108" t="n"/>
      <c r="G102" s="108" t="n"/>
      <c r="H102" s="40" t="n"/>
      <c r="I102" s="40" t="n"/>
      <c r="J102" s="40" t="n"/>
      <c r="K102" s="108" t="n"/>
      <c r="L102" s="42" t="n"/>
      <c r="M102" s="108" t="n"/>
      <c r="N102" s="108" t="n"/>
      <c r="O102" s="42" t="n"/>
      <c r="P102" s="40" t="n"/>
      <c r="Q102" s="40" t="n"/>
      <c r="R102" s="108" t="n"/>
      <c r="S102" s="108" t="n"/>
      <c r="T102" s="165">
        <f>IF(Q102="","",IF(Q102="L",ABS((N102-M102)/(M102-K102)),IF(Q102="S",ABS((M102-N102)/(K102-M102)),"")))</f>
        <v/>
      </c>
      <c r="U102" s="41" t="n"/>
      <c r="V102" s="40" t="n"/>
      <c r="W102" s="42">
        <f>IF(V102="","",IF(V102="SL",L102+Y102,IF(V102="TP",O102+Y102,"")))</f>
        <v/>
      </c>
      <c r="X102" s="42" t="n"/>
      <c r="Y102" s="42" t="n"/>
      <c r="Z102" s="42">
        <f>IF(OR(V102="",V102="tp"),"",IF(V102="sl",T102,""))</f>
        <v/>
      </c>
      <c r="AA102" s="42">
        <f>IF(OR(V102="",V102="sl"),"",IF(V102="tp",T102,""))</f>
        <v/>
      </c>
    </row>
    <row r="103" spans="1:27">
      <c r="A103" s="40" t="n">
        <v>100</v>
      </c>
      <c r="B103" s="40" t="n"/>
      <c r="C103" s="41" t="n"/>
      <c r="D103" s="108" t="n"/>
      <c r="E103" s="108" t="n"/>
      <c r="F103" s="108" t="n"/>
      <c r="G103" s="108" t="n"/>
      <c r="H103" s="40" t="n"/>
      <c r="I103" s="40" t="n"/>
      <c r="J103" s="40" t="n"/>
      <c r="K103" s="108" t="n"/>
      <c r="L103" s="42" t="n"/>
      <c r="M103" s="108" t="n"/>
      <c r="N103" s="108" t="n"/>
      <c r="O103" s="42" t="n"/>
      <c r="P103" s="40" t="n"/>
      <c r="Q103" s="40" t="n"/>
      <c r="R103" s="108" t="n"/>
      <c r="S103" s="108" t="n"/>
      <c r="T103" s="165">
        <f>IF(Q103="","",IF(Q103="L",ABS((N103-M103)/(M103-K103)),IF(Q103="S",ABS((M103-N103)/(K103-M103)),"")))</f>
        <v/>
      </c>
      <c r="U103" s="41" t="n"/>
      <c r="V103" s="40" t="n"/>
      <c r="W103" s="42">
        <f>IF(V103="","",IF(V103="SL",L103+Y103,IF(V103="TP",O103+Y103,"")))</f>
        <v/>
      </c>
      <c r="X103" s="42" t="n"/>
      <c r="Y103" s="42" t="n"/>
      <c r="Z103" s="42">
        <f>IF(OR(V103="",V103="tp"),"",IF(V103="sl",T103,""))</f>
        <v/>
      </c>
      <c r="AA103" s="42">
        <f>IF(OR(V103="",V103="sl"),"",IF(V103="tp",T103,""))</f>
        <v/>
      </c>
    </row>
    <row r="104" spans="1:27">
      <c r="A104" s="40" t="n">
        <v>101</v>
      </c>
      <c r="B104" s="40" t="n"/>
      <c r="C104" s="41" t="n"/>
      <c r="D104" s="108" t="n"/>
      <c r="E104" s="108" t="n"/>
      <c r="F104" s="108" t="n"/>
      <c r="G104" s="108" t="n"/>
      <c r="H104" s="40" t="n"/>
      <c r="I104" s="40" t="n"/>
      <c r="J104" s="40" t="n"/>
      <c r="K104" s="108" t="n"/>
      <c r="L104" s="42" t="n"/>
      <c r="M104" s="108" t="n"/>
      <c r="N104" s="108" t="n"/>
      <c r="O104" s="42" t="n"/>
      <c r="P104" s="40" t="n"/>
      <c r="Q104" s="40" t="n"/>
      <c r="R104" s="108" t="n"/>
      <c r="S104" s="108" t="n"/>
      <c r="T104" s="165">
        <f>IF(Q104="","",IF(Q104="L",ABS((N104-M104)/(M104-K104)),IF(Q104="S",ABS((M104-N104)/(K104-M104)),"")))</f>
        <v/>
      </c>
      <c r="U104" s="41" t="n"/>
      <c r="V104" s="40" t="n"/>
      <c r="W104" s="42">
        <f>IF(V104="","",IF(V104="SL",L104+Y104,IF(V104="TP",O104+Y104,"")))</f>
        <v/>
      </c>
      <c r="X104" s="42" t="n"/>
      <c r="Y104" s="42" t="n"/>
      <c r="Z104" s="42">
        <f>IF(OR(V104="",V104="tp"),"",IF(V104="sl",T104,""))</f>
        <v/>
      </c>
      <c r="AA104" s="42">
        <f>IF(OR(V104="",V104="sl"),"",IF(V104="tp",T104,""))</f>
        <v/>
      </c>
    </row>
    <row r="105" spans="1:27">
      <c r="A105" s="40" t="n">
        <v>102</v>
      </c>
      <c r="B105" s="40" t="n"/>
      <c r="C105" s="41" t="n"/>
      <c r="D105" s="108" t="n"/>
      <c r="E105" s="108" t="n"/>
      <c r="F105" s="108" t="n"/>
      <c r="G105" s="108" t="n"/>
      <c r="H105" s="40" t="n"/>
      <c r="I105" s="40" t="n"/>
      <c r="J105" s="40" t="n"/>
      <c r="K105" s="108" t="n"/>
      <c r="L105" s="42" t="n"/>
      <c r="M105" s="108" t="n"/>
      <c r="N105" s="108" t="n"/>
      <c r="O105" s="42" t="n"/>
      <c r="P105" s="40" t="n"/>
      <c r="Q105" s="40" t="n"/>
      <c r="R105" s="108" t="n"/>
      <c r="S105" s="108" t="n"/>
      <c r="T105" s="165">
        <f>IF(Q105="","",IF(Q105="L",ABS((N105-M105)/(M105-K105)),IF(Q105="S",ABS((M105-N105)/(K105-M105)),"")))</f>
        <v/>
      </c>
      <c r="U105" s="41" t="n"/>
      <c r="V105" s="40" t="n"/>
      <c r="W105" s="42">
        <f>IF(V105="","",IF(V105="SL",L105+Y105,IF(V105="TP",O105+Y105,"")))</f>
        <v/>
      </c>
      <c r="X105" s="42" t="n"/>
      <c r="Y105" s="42" t="n"/>
      <c r="Z105" s="42">
        <f>IF(OR(V105="",V105="tp"),"",IF(V105="sl",T105,""))</f>
        <v/>
      </c>
      <c r="AA105" s="42">
        <f>IF(OR(V105="",V105="sl"),"",IF(V105="tp",T105,""))</f>
        <v/>
      </c>
    </row>
    <row r="106" spans="1:27">
      <c r="A106" s="40" t="n">
        <v>103</v>
      </c>
      <c r="B106" s="40" t="n"/>
      <c r="C106" s="41" t="n"/>
      <c r="D106" s="108" t="n"/>
      <c r="E106" s="108" t="n"/>
      <c r="F106" s="108" t="n"/>
      <c r="G106" s="108" t="n"/>
      <c r="H106" s="40" t="n"/>
      <c r="I106" s="40" t="n"/>
      <c r="J106" s="40" t="n"/>
      <c r="K106" s="108" t="n"/>
      <c r="L106" s="42" t="n"/>
      <c r="M106" s="108" t="n"/>
      <c r="N106" s="108" t="n"/>
      <c r="O106" s="42" t="n"/>
      <c r="P106" s="40" t="n"/>
      <c r="Q106" s="40" t="n"/>
      <c r="R106" s="108" t="n"/>
      <c r="S106" s="108" t="n"/>
      <c r="T106" s="165">
        <f>IF(Q106="","",IF(Q106="L",ABS((N106-M106)/(M106-K106)),IF(Q106="S",ABS((M106-N106)/(K106-M106)),"")))</f>
        <v/>
      </c>
      <c r="U106" s="41" t="n"/>
      <c r="V106" s="40" t="n"/>
      <c r="W106" s="42">
        <f>IF(V106="","",IF(V106="SL",L106+Y106,IF(V106="TP",O106+Y106,"")))</f>
        <v/>
      </c>
      <c r="X106" s="42" t="n"/>
      <c r="Y106" s="42" t="n"/>
      <c r="Z106" s="42">
        <f>IF(OR(V106="",V106="tp"),"",IF(V106="sl",T106,""))</f>
        <v/>
      </c>
      <c r="AA106" s="42">
        <f>IF(OR(V106="",V106="sl"),"",IF(V106="tp",T106,""))</f>
        <v/>
      </c>
    </row>
    <row r="107" spans="1:27">
      <c r="A107" s="40" t="n">
        <v>104</v>
      </c>
      <c r="B107" s="40" t="n"/>
      <c r="C107" s="41" t="n"/>
      <c r="D107" s="108" t="n"/>
      <c r="E107" s="108" t="n"/>
      <c r="F107" s="108" t="n"/>
      <c r="G107" s="108" t="n"/>
      <c r="H107" s="40" t="n"/>
      <c r="I107" s="40" t="n"/>
      <c r="J107" s="40" t="n"/>
      <c r="K107" s="108" t="n"/>
      <c r="L107" s="42" t="n"/>
      <c r="M107" s="108" t="n"/>
      <c r="N107" s="108" t="n"/>
      <c r="O107" s="42" t="n"/>
      <c r="P107" s="40" t="n"/>
      <c r="Q107" s="40" t="n"/>
      <c r="R107" s="108" t="n"/>
      <c r="S107" s="108" t="n"/>
      <c r="T107" s="165">
        <f>IF(Q107="","",IF(Q107="L",ABS((N107-M107)/(M107-K107)),IF(Q107="S",ABS((M107-N107)/(K107-M107)),"")))</f>
        <v/>
      </c>
      <c r="U107" s="41" t="n"/>
      <c r="V107" s="40" t="n"/>
      <c r="W107" s="42">
        <f>IF(V107="","",IF(V107="SL",L107+Y107,IF(V107="TP",O107+Y107,"")))</f>
        <v/>
      </c>
      <c r="X107" s="42" t="n"/>
      <c r="Y107" s="42" t="n"/>
      <c r="Z107" s="42">
        <f>IF(OR(V107="",V107="tp"),"",IF(V107="sl",T107,""))</f>
        <v/>
      </c>
      <c r="AA107" s="42">
        <f>IF(OR(V107="",V107="sl"),"",IF(V107="tp",T107,""))</f>
        <v/>
      </c>
    </row>
    <row r="108" spans="1:27">
      <c r="A108" s="40" t="n">
        <v>105</v>
      </c>
      <c r="B108" s="40" t="n"/>
      <c r="C108" s="41" t="n"/>
      <c r="D108" s="108" t="n"/>
      <c r="E108" s="108" t="n"/>
      <c r="F108" s="108" t="n"/>
      <c r="G108" s="108" t="n"/>
      <c r="H108" s="40" t="n"/>
      <c r="I108" s="40" t="n"/>
      <c r="J108" s="40" t="n"/>
      <c r="K108" s="108" t="n"/>
      <c r="L108" s="42" t="n"/>
      <c r="M108" s="108" t="n"/>
      <c r="N108" s="108" t="n"/>
      <c r="O108" s="42" t="n"/>
      <c r="P108" s="40" t="n"/>
      <c r="Q108" s="40" t="n"/>
      <c r="R108" s="108" t="n"/>
      <c r="S108" s="108" t="n"/>
      <c r="T108" s="165">
        <f>IF(Q108="","",IF(Q108="L",ABS((N108-M108)/(M108-K108)),IF(Q108="S",ABS((M108-N108)/(K108-M108)),"")))</f>
        <v/>
      </c>
      <c r="U108" s="41" t="n"/>
      <c r="V108" s="40" t="n"/>
      <c r="W108" s="42">
        <f>IF(V108="","",IF(V108="SL",L108+Y108,IF(V108="TP",O108+Y108,"")))</f>
        <v/>
      </c>
      <c r="X108" s="42" t="n"/>
      <c r="Y108" s="42" t="n"/>
      <c r="Z108" s="42">
        <f>IF(OR(V108="",V108="tp"),"",IF(V108="sl",T108,""))</f>
        <v/>
      </c>
      <c r="AA108" s="42">
        <f>IF(OR(V108="",V108="sl"),"",IF(V108="tp",T108,""))</f>
        <v/>
      </c>
    </row>
    <row r="109" spans="1:27">
      <c r="A109" s="40" t="n">
        <v>106</v>
      </c>
      <c r="B109" s="40" t="n"/>
      <c r="C109" s="41" t="n"/>
      <c r="D109" s="108" t="n"/>
      <c r="E109" s="108" t="n"/>
      <c r="F109" s="108" t="n"/>
      <c r="G109" s="108" t="n"/>
      <c r="H109" s="40" t="n"/>
      <c r="I109" s="40" t="n"/>
      <c r="J109" s="40" t="n"/>
      <c r="K109" s="108" t="n"/>
      <c r="L109" s="42" t="n"/>
      <c r="M109" s="108" t="n"/>
      <c r="N109" s="108" t="n"/>
      <c r="O109" s="42" t="n"/>
      <c r="P109" s="40" t="n"/>
      <c r="Q109" s="40" t="n"/>
      <c r="R109" s="108" t="n"/>
      <c r="S109" s="108" t="n"/>
      <c r="T109" s="165">
        <f>IF(Q109="","",IF(Q109="L",ABS((N109-M109)/(M109-K109)),IF(Q109="S",ABS((M109-N109)/(K109-M109)),"")))</f>
        <v/>
      </c>
      <c r="U109" s="41" t="n"/>
      <c r="V109" s="40" t="n"/>
      <c r="W109" s="42">
        <f>IF(V109="","",IF(V109="SL",L109+Y109,IF(V109="TP",O109+Y109,"")))</f>
        <v/>
      </c>
      <c r="X109" s="42" t="n"/>
      <c r="Y109" s="42" t="n"/>
      <c r="Z109" s="42">
        <f>IF(OR(V109="",V109="tp"),"",IF(V109="sl",T109,""))</f>
        <v/>
      </c>
      <c r="AA109" s="42">
        <f>IF(OR(V109="",V109="sl"),"",IF(V109="tp",T109,""))</f>
        <v/>
      </c>
    </row>
    <row r="110" spans="1:27">
      <c r="A110" s="40" t="n">
        <v>107</v>
      </c>
      <c r="B110" s="40" t="n"/>
      <c r="C110" s="41" t="n"/>
      <c r="D110" s="108" t="n"/>
      <c r="E110" s="108" t="n"/>
      <c r="F110" s="108" t="n"/>
      <c r="G110" s="108" t="n"/>
      <c r="H110" s="40" t="n"/>
      <c r="I110" s="40" t="n"/>
      <c r="J110" s="40" t="n"/>
      <c r="K110" s="108" t="n"/>
      <c r="L110" s="42" t="n"/>
      <c r="M110" s="108" t="n"/>
      <c r="N110" s="108" t="n"/>
      <c r="O110" s="42" t="n"/>
      <c r="P110" s="40" t="n"/>
      <c r="Q110" s="40" t="n"/>
      <c r="R110" s="108" t="n"/>
      <c r="S110" s="108" t="n"/>
      <c r="T110" s="165">
        <f>IF(Q110="","",IF(Q110="L",ABS((N110-M110)/(M110-K110)),IF(Q110="S",ABS((M110-N110)/(K110-M110)),"")))</f>
        <v/>
      </c>
      <c r="U110" s="41" t="n"/>
      <c r="V110" s="40" t="n"/>
      <c r="W110" s="42">
        <f>IF(V110="","",IF(V110="SL",L110+Y110,IF(V110="TP",O110+Y110,"")))</f>
        <v/>
      </c>
      <c r="X110" s="42" t="n"/>
      <c r="Y110" s="42" t="n"/>
      <c r="Z110" s="42">
        <f>IF(OR(V110="",V110="tp"),"",IF(V110="sl",T110,""))</f>
        <v/>
      </c>
      <c r="AA110" s="42">
        <f>IF(OR(V110="",V110="sl"),"",IF(V110="tp",T110,""))</f>
        <v/>
      </c>
    </row>
    <row r="111" spans="1:27">
      <c r="A111" s="40" t="n">
        <v>108</v>
      </c>
      <c r="B111" s="40" t="n"/>
      <c r="C111" s="41" t="n"/>
      <c r="D111" s="108" t="n"/>
      <c r="E111" s="108" t="n"/>
      <c r="F111" s="108" t="n"/>
      <c r="G111" s="108" t="n"/>
      <c r="H111" s="40" t="n"/>
      <c r="I111" s="40" t="n"/>
      <c r="J111" s="40" t="n"/>
      <c r="K111" s="108" t="n"/>
      <c r="L111" s="42" t="n"/>
      <c r="M111" s="108" t="n"/>
      <c r="N111" s="108" t="n"/>
      <c r="O111" s="42" t="n"/>
      <c r="P111" s="40" t="n"/>
      <c r="Q111" s="40" t="n"/>
      <c r="R111" s="108" t="n"/>
      <c r="S111" s="108" t="n"/>
      <c r="T111" s="165">
        <f>IF(Q111="","",IF(Q111="L",ABS((N111-M111)/(M111-K111)),IF(Q111="S",ABS((M111-N111)/(K111-M111)),"")))</f>
        <v/>
      </c>
      <c r="U111" s="41" t="n"/>
      <c r="V111" s="40" t="n"/>
      <c r="W111" s="42">
        <f>IF(V111="","",IF(V111="SL",L111+Y111,IF(V111="TP",O111+Y111,"")))</f>
        <v/>
      </c>
      <c r="X111" s="42" t="n"/>
      <c r="Y111" s="42" t="n"/>
      <c r="Z111" s="42">
        <f>IF(OR(V111="",V111="tp"),"",IF(V111="sl",T111,""))</f>
        <v/>
      </c>
      <c r="AA111" s="42">
        <f>IF(OR(V111="",V111="sl"),"",IF(V111="tp",T111,""))</f>
        <v/>
      </c>
    </row>
    <row r="112" spans="1:27">
      <c r="A112" s="40" t="n">
        <v>109</v>
      </c>
      <c r="B112" s="40" t="n"/>
      <c r="C112" s="41" t="n"/>
      <c r="D112" s="108" t="n"/>
      <c r="E112" s="108" t="n"/>
      <c r="F112" s="108" t="n"/>
      <c r="G112" s="108" t="n"/>
      <c r="H112" s="40" t="n"/>
      <c r="I112" s="40" t="n"/>
      <c r="J112" s="40" t="n"/>
      <c r="K112" s="108" t="n"/>
      <c r="L112" s="42" t="n"/>
      <c r="M112" s="108" t="n"/>
      <c r="N112" s="108" t="n"/>
      <c r="O112" s="42" t="n"/>
      <c r="P112" s="40" t="n"/>
      <c r="Q112" s="40" t="n"/>
      <c r="R112" s="108" t="n"/>
      <c r="S112" s="108" t="n"/>
      <c r="T112" s="165">
        <f>IF(Q112="","",IF(Q112="L",ABS((N112-M112)/(M112-K112)),IF(Q112="S",ABS((M112-N112)/(K112-M112)),"")))</f>
        <v/>
      </c>
      <c r="U112" s="41" t="n"/>
      <c r="V112" s="40" t="n"/>
      <c r="W112" s="42">
        <f>IF(V112="","",IF(V112="SL",L112+Y112,IF(V112="TP",O112+Y112,"")))</f>
        <v/>
      </c>
      <c r="X112" s="42" t="n"/>
      <c r="Y112" s="42" t="n"/>
      <c r="Z112" s="42">
        <f>IF(OR(V112="",V112="tp"),"",IF(V112="sl",T112,""))</f>
        <v/>
      </c>
      <c r="AA112" s="42">
        <f>IF(OR(V112="",V112="sl"),"",IF(V112="tp",T112,""))</f>
        <v/>
      </c>
    </row>
    <row r="113" spans="1:27">
      <c r="A113" s="40" t="n">
        <v>110</v>
      </c>
      <c r="B113" s="40" t="n"/>
      <c r="C113" s="41" t="n"/>
      <c r="D113" s="108" t="n"/>
      <c r="E113" s="108" t="n"/>
      <c r="F113" s="108" t="n"/>
      <c r="G113" s="108" t="n"/>
      <c r="H113" s="40" t="n"/>
      <c r="I113" s="40" t="n"/>
      <c r="J113" s="40" t="n"/>
      <c r="K113" s="108" t="n"/>
      <c r="L113" s="42" t="n"/>
      <c r="M113" s="108" t="n"/>
      <c r="N113" s="108" t="n"/>
      <c r="O113" s="42" t="n"/>
      <c r="P113" s="40" t="n"/>
      <c r="Q113" s="40" t="n"/>
      <c r="R113" s="108" t="n"/>
      <c r="S113" s="108" t="n"/>
      <c r="T113" s="165">
        <f>IF(Q113="","",IF(Q113="L",ABS((N113-M113)/(M113-K113)),IF(Q113="S",ABS((M113-N113)/(K113-M113)),"")))</f>
        <v/>
      </c>
      <c r="U113" s="41" t="n"/>
      <c r="V113" s="40" t="n"/>
      <c r="W113" s="42">
        <f>IF(V113="","",IF(V113="SL",L113+Y113,IF(V113="TP",O113+Y113,"")))</f>
        <v/>
      </c>
      <c r="X113" s="42" t="n"/>
      <c r="Y113" s="42" t="n"/>
      <c r="Z113" s="42">
        <f>IF(OR(V113="",V113="tp"),"",IF(V113="sl",T113,""))</f>
        <v/>
      </c>
      <c r="AA113" s="42">
        <f>IF(OR(V113="",V113="sl"),"",IF(V113="tp",T113,""))</f>
        <v/>
      </c>
    </row>
    <row r="114" spans="1:27">
      <c r="A114" s="40" t="n">
        <v>111</v>
      </c>
      <c r="B114" s="40" t="n"/>
      <c r="C114" s="41" t="n"/>
      <c r="D114" s="108" t="n"/>
      <c r="E114" s="108" t="n"/>
      <c r="F114" s="108" t="n"/>
      <c r="G114" s="108" t="n"/>
      <c r="H114" s="40" t="n"/>
      <c r="I114" s="40" t="n"/>
      <c r="J114" s="40" t="n"/>
      <c r="K114" s="108" t="n"/>
      <c r="L114" s="42" t="n"/>
      <c r="M114" s="108" t="n"/>
      <c r="N114" s="108" t="n"/>
      <c r="O114" s="42" t="n"/>
      <c r="P114" s="40" t="n"/>
      <c r="Q114" s="40" t="n"/>
      <c r="R114" s="108" t="n"/>
      <c r="S114" s="108" t="n"/>
      <c r="T114" s="165">
        <f>IF(Q114="","",IF(Q114="L",ABS((N114-M114)/(M114-K114)),IF(Q114="S",ABS((M114-N114)/(K114-M114)),"")))</f>
        <v/>
      </c>
      <c r="U114" s="41" t="n"/>
      <c r="V114" s="40" t="n"/>
      <c r="W114" s="42">
        <f>IF(V114="","",IF(V114="SL",L114+Y114,IF(V114="TP",O114+Y114,"")))</f>
        <v/>
      </c>
      <c r="X114" s="42" t="n"/>
      <c r="Y114" s="42" t="n"/>
      <c r="Z114" s="42">
        <f>IF(OR(V114="",V114="tp"),"",IF(V114="sl",T114,""))</f>
        <v/>
      </c>
      <c r="AA114" s="42">
        <f>IF(OR(V114="",V114="sl"),"",IF(V114="tp",T114,""))</f>
        <v/>
      </c>
    </row>
    <row r="115" spans="1:27">
      <c r="A115" s="40" t="n">
        <v>112</v>
      </c>
      <c r="B115" s="40" t="n"/>
      <c r="C115" s="41" t="n"/>
      <c r="D115" s="108" t="n"/>
      <c r="E115" s="108" t="n"/>
      <c r="F115" s="108" t="n"/>
      <c r="G115" s="108" t="n"/>
      <c r="H115" s="40" t="n"/>
      <c r="I115" s="40" t="n"/>
      <c r="J115" s="40" t="n"/>
      <c r="K115" s="108" t="n"/>
      <c r="L115" s="42" t="n"/>
      <c r="M115" s="108" t="n"/>
      <c r="N115" s="108" t="n"/>
      <c r="O115" s="42" t="n"/>
      <c r="P115" s="40" t="n"/>
      <c r="Q115" s="40" t="n"/>
      <c r="R115" s="108" t="n"/>
      <c r="S115" s="108" t="n"/>
      <c r="T115" s="165">
        <f>IF(Q115="","",IF(Q115="L",ABS((N115-M115)/(M115-K115)),IF(Q115="S",ABS((M115-N115)/(K115-M115)),"")))</f>
        <v/>
      </c>
      <c r="U115" s="41" t="n"/>
      <c r="V115" s="40" t="n"/>
      <c r="W115" s="42">
        <f>IF(V115="","",IF(V115="SL",L115+Y115,IF(V115="TP",O115+Y115,"")))</f>
        <v/>
      </c>
      <c r="X115" s="42" t="n"/>
      <c r="Y115" s="42" t="n"/>
      <c r="Z115" s="42">
        <f>IF(OR(V115="",V115="tp"),"",IF(V115="sl",T115,""))</f>
        <v/>
      </c>
      <c r="AA115" s="42">
        <f>IF(OR(V115="",V115="sl"),"",IF(V115="tp",T115,""))</f>
        <v/>
      </c>
    </row>
    <row r="116" spans="1:27">
      <c r="A116" s="40" t="n">
        <v>113</v>
      </c>
      <c r="B116" s="40" t="n"/>
      <c r="C116" s="41" t="n"/>
      <c r="D116" s="108" t="n"/>
      <c r="E116" s="108" t="n"/>
      <c r="F116" s="108" t="n"/>
      <c r="G116" s="108" t="n"/>
      <c r="H116" s="40" t="n"/>
      <c r="I116" s="40" t="n"/>
      <c r="J116" s="40" t="n"/>
      <c r="K116" s="108" t="n"/>
      <c r="L116" s="42" t="n"/>
      <c r="M116" s="108" t="n"/>
      <c r="N116" s="108" t="n"/>
      <c r="O116" s="42" t="n"/>
      <c r="P116" s="40" t="n"/>
      <c r="Q116" s="40" t="n"/>
      <c r="R116" s="108" t="n"/>
      <c r="S116" s="108" t="n"/>
      <c r="T116" s="165">
        <f>IF(Q116="","",IF(Q116="L",ABS((N116-M116)/(M116-K116)),IF(Q116="S",ABS((M116-N116)/(K116-M116)),"")))</f>
        <v/>
      </c>
      <c r="U116" s="41" t="n"/>
      <c r="V116" s="40" t="n"/>
      <c r="W116" s="42">
        <f>IF(V116="","",IF(V116="SL",L116+Y116,IF(V116="TP",O116+Y116,"")))</f>
        <v/>
      </c>
      <c r="X116" s="42" t="n"/>
      <c r="Y116" s="42" t="n"/>
      <c r="Z116" s="42">
        <f>IF(OR(V116="",V116="tp"),"",IF(V116="sl",T116,""))</f>
        <v/>
      </c>
      <c r="AA116" s="42">
        <f>IF(OR(V116="",V116="sl"),"",IF(V116="tp",T116,""))</f>
        <v/>
      </c>
    </row>
    <row r="117" spans="1:27">
      <c r="A117" s="40" t="n">
        <v>114</v>
      </c>
      <c r="B117" s="40" t="n"/>
      <c r="C117" s="41" t="n"/>
      <c r="D117" s="108" t="n"/>
      <c r="E117" s="108" t="n"/>
      <c r="F117" s="108" t="n"/>
      <c r="G117" s="108" t="n"/>
      <c r="H117" s="40" t="n"/>
      <c r="I117" s="40" t="n"/>
      <c r="J117" s="40" t="n"/>
      <c r="K117" s="108" t="n"/>
      <c r="L117" s="42" t="n"/>
      <c r="M117" s="108" t="n"/>
      <c r="N117" s="108" t="n"/>
      <c r="O117" s="42" t="n"/>
      <c r="P117" s="40" t="n"/>
      <c r="Q117" s="40" t="n"/>
      <c r="R117" s="108" t="n"/>
      <c r="S117" s="108" t="n"/>
      <c r="T117" s="165">
        <f>IF(Q117="","",IF(Q117="L",ABS((N117-M117)/(M117-K117)),IF(Q117="S",ABS((M117-N117)/(K117-M117)),"")))</f>
        <v/>
      </c>
      <c r="U117" s="41" t="n"/>
      <c r="V117" s="40" t="n"/>
      <c r="W117" s="42">
        <f>IF(V117="","",IF(V117="SL",L117+Y117,IF(V117="TP",O117+Y117,"")))</f>
        <v/>
      </c>
      <c r="X117" s="42" t="n"/>
      <c r="Y117" s="42" t="n"/>
      <c r="Z117" s="42">
        <f>IF(OR(V117="",V117="tp"),"",IF(V117="sl",T117,""))</f>
        <v/>
      </c>
      <c r="AA117" s="42">
        <f>IF(OR(V117="",V117="sl"),"",IF(V117="tp",T117,""))</f>
        <v/>
      </c>
    </row>
    <row r="118" spans="1:27">
      <c r="A118" s="40" t="n">
        <v>115</v>
      </c>
      <c r="B118" s="40" t="n"/>
      <c r="C118" s="41" t="n"/>
      <c r="D118" s="108" t="n"/>
      <c r="E118" s="108" t="n"/>
      <c r="F118" s="108" t="n"/>
      <c r="G118" s="108" t="n"/>
      <c r="H118" s="40" t="n"/>
      <c r="I118" s="40" t="n"/>
      <c r="J118" s="40" t="n"/>
      <c r="K118" s="108" t="n"/>
      <c r="L118" s="42" t="n"/>
      <c r="M118" s="108" t="n"/>
      <c r="N118" s="108" t="n"/>
      <c r="O118" s="42" t="n"/>
      <c r="P118" s="40" t="n"/>
      <c r="Q118" s="40" t="n"/>
      <c r="R118" s="108" t="n"/>
      <c r="S118" s="108" t="n"/>
      <c r="T118" s="165">
        <f>IF(Q118="","",IF(Q118="L",ABS((N118-M118)/(M118-K118)),IF(Q118="S",ABS((M118-N118)/(K118-M118)),"")))</f>
        <v/>
      </c>
      <c r="U118" s="41" t="n"/>
      <c r="V118" s="40" t="n"/>
      <c r="W118" s="42">
        <f>IF(V118="","",IF(V118="SL",L118+Y118,IF(V118="TP",O118+Y118,"")))</f>
        <v/>
      </c>
      <c r="X118" s="42" t="n"/>
      <c r="Y118" s="42" t="n"/>
      <c r="Z118" s="42">
        <f>IF(OR(V118="",V118="tp"),"",IF(V118="sl",T118,""))</f>
        <v/>
      </c>
      <c r="AA118" s="42">
        <f>IF(OR(V118="",V118="sl"),"",IF(V118="tp",T118,""))</f>
        <v/>
      </c>
    </row>
    <row r="119" spans="1:27">
      <c r="A119" s="40" t="n">
        <v>116</v>
      </c>
      <c r="B119" s="40" t="n"/>
      <c r="C119" s="41" t="n"/>
      <c r="D119" s="108" t="n"/>
      <c r="E119" s="108" t="n"/>
      <c r="F119" s="108" t="n"/>
      <c r="G119" s="108" t="n"/>
      <c r="H119" s="40" t="n"/>
      <c r="I119" s="40" t="n"/>
      <c r="J119" s="40" t="n"/>
      <c r="K119" s="108" t="n"/>
      <c r="L119" s="42" t="n"/>
      <c r="M119" s="108" t="n"/>
      <c r="N119" s="108" t="n"/>
      <c r="O119" s="42" t="n"/>
      <c r="P119" s="40" t="n"/>
      <c r="Q119" s="40" t="n"/>
      <c r="R119" s="108" t="n"/>
      <c r="S119" s="108" t="n"/>
      <c r="T119" s="165">
        <f>IF(Q119="","",IF(Q119="L",ABS((N119-M119)/(M119-K119)),IF(Q119="S",ABS((M119-N119)/(K119-M119)),"")))</f>
        <v/>
      </c>
      <c r="U119" s="41" t="n"/>
      <c r="V119" s="40" t="n"/>
      <c r="W119" s="42">
        <f>IF(V119="","",IF(V119="SL",L119+Y119,IF(V119="TP",O119+Y119,"")))</f>
        <v/>
      </c>
      <c r="X119" s="42" t="n"/>
      <c r="Y119" s="42" t="n"/>
      <c r="Z119" s="42">
        <f>IF(OR(V119="",V119="tp"),"",IF(V119="sl",T119,""))</f>
        <v/>
      </c>
      <c r="AA119" s="42">
        <f>IF(OR(V119="",V119="sl"),"",IF(V119="tp",T119,""))</f>
        <v/>
      </c>
    </row>
    <row r="120" spans="1:27">
      <c r="A120" s="40" t="n">
        <v>117</v>
      </c>
      <c r="B120" s="40" t="n"/>
      <c r="C120" s="41" t="n"/>
      <c r="D120" s="108" t="n"/>
      <c r="E120" s="108" t="n"/>
      <c r="F120" s="108" t="n"/>
      <c r="G120" s="108" t="n"/>
      <c r="H120" s="40" t="n"/>
      <c r="I120" s="40" t="n"/>
      <c r="J120" s="40" t="n"/>
      <c r="K120" s="108" t="n"/>
      <c r="L120" s="42" t="n"/>
      <c r="M120" s="108" t="n"/>
      <c r="N120" s="108" t="n"/>
      <c r="O120" s="42" t="n"/>
      <c r="P120" s="40" t="n"/>
      <c r="Q120" s="40" t="n"/>
      <c r="R120" s="108" t="n"/>
      <c r="S120" s="108" t="n"/>
      <c r="T120" s="165">
        <f>IF(Q120="","",IF(Q120="L",ABS((N120-M120)/(M120-K120)),IF(Q120="S",ABS((M120-N120)/(K120-M120)),"")))</f>
        <v/>
      </c>
      <c r="U120" s="41" t="n"/>
      <c r="V120" s="40" t="n"/>
      <c r="W120" s="42">
        <f>IF(V120="","",IF(V120="SL",L120+Y120,IF(V120="TP",O120+Y120,"")))</f>
        <v/>
      </c>
      <c r="X120" s="42" t="n"/>
      <c r="Y120" s="42" t="n"/>
      <c r="Z120" s="42">
        <f>IF(OR(V120="",V120="tp"),"",IF(V120="sl",T120,""))</f>
        <v/>
      </c>
      <c r="AA120" s="42">
        <f>IF(OR(V120="",V120="sl"),"",IF(V120="tp",T120,""))</f>
        <v/>
      </c>
    </row>
    <row r="121" spans="1:27">
      <c r="A121" s="40" t="n">
        <v>118</v>
      </c>
      <c r="B121" s="40" t="n"/>
      <c r="C121" s="41" t="n"/>
      <c r="D121" s="108" t="n"/>
      <c r="E121" s="108" t="n"/>
      <c r="F121" s="108" t="n"/>
      <c r="G121" s="108" t="n"/>
      <c r="H121" s="40" t="n"/>
      <c r="I121" s="40" t="n"/>
      <c r="J121" s="40" t="n"/>
      <c r="K121" s="108" t="n"/>
      <c r="L121" s="42" t="n"/>
      <c r="M121" s="108" t="n"/>
      <c r="N121" s="108" t="n"/>
      <c r="O121" s="42" t="n"/>
      <c r="P121" s="40" t="n"/>
      <c r="Q121" s="40" t="n"/>
      <c r="R121" s="108" t="n"/>
      <c r="S121" s="108" t="n"/>
      <c r="T121" s="165">
        <f>IF(Q121="","",IF(Q121="L",ABS((N121-M121)/(M121-K121)),IF(Q121="S",ABS((M121-N121)/(K121-M121)),"")))</f>
        <v/>
      </c>
      <c r="U121" s="41" t="n"/>
      <c r="V121" s="40" t="n"/>
      <c r="W121" s="42">
        <f>IF(V121="","",IF(V121="SL",L121+Y121,IF(V121="TP",O121+Y121,"")))</f>
        <v/>
      </c>
      <c r="X121" s="42" t="n"/>
      <c r="Y121" s="42" t="n"/>
      <c r="Z121" s="42">
        <f>IF(OR(V121="",V121="tp"),"",IF(V121="sl",T121,""))</f>
        <v/>
      </c>
      <c r="AA121" s="42">
        <f>IF(OR(V121="",V121="sl"),"",IF(V121="tp",T121,""))</f>
        <v/>
      </c>
    </row>
    <row r="122" spans="1:27">
      <c r="A122" s="40" t="n">
        <v>119</v>
      </c>
      <c r="B122" s="40" t="n"/>
      <c r="C122" s="41" t="n"/>
      <c r="D122" s="108" t="n"/>
      <c r="E122" s="108" t="n"/>
      <c r="F122" s="108" t="n"/>
      <c r="G122" s="108" t="n"/>
      <c r="H122" s="40" t="n"/>
      <c r="I122" s="40" t="n"/>
      <c r="J122" s="40" t="n"/>
      <c r="K122" s="108" t="n"/>
      <c r="L122" s="42" t="n"/>
      <c r="M122" s="108" t="n"/>
      <c r="N122" s="108" t="n"/>
      <c r="O122" s="42" t="n"/>
      <c r="P122" s="40" t="n"/>
      <c r="Q122" s="40" t="n"/>
      <c r="R122" s="108" t="n"/>
      <c r="S122" s="108" t="n"/>
      <c r="T122" s="165">
        <f>IF(Q122="","",IF(Q122="L",ABS((N122-M122)/(M122-K122)),IF(Q122="S",ABS((M122-N122)/(K122-M122)),"")))</f>
        <v/>
      </c>
      <c r="U122" s="41" t="n"/>
      <c r="V122" s="40" t="n"/>
      <c r="W122" s="42">
        <f>IF(V122="","",IF(V122="SL",L122+Y122,IF(V122="TP",O122+Y122,"")))</f>
        <v/>
      </c>
      <c r="X122" s="42" t="n"/>
      <c r="Y122" s="42" t="n"/>
      <c r="Z122" s="42">
        <f>IF(OR(V122="",V122="tp"),"",IF(V122="sl",T122,""))</f>
        <v/>
      </c>
      <c r="AA122" s="42">
        <f>IF(OR(V122="",V122="sl"),"",IF(V122="tp",T122,""))</f>
        <v/>
      </c>
    </row>
    <row r="123" spans="1:27">
      <c r="A123" s="40" t="n">
        <v>120</v>
      </c>
      <c r="B123" s="40" t="n"/>
      <c r="C123" s="41" t="n"/>
      <c r="D123" s="108" t="n"/>
      <c r="E123" s="108" t="n"/>
      <c r="F123" s="108" t="n"/>
      <c r="G123" s="108" t="n"/>
      <c r="H123" s="40" t="n"/>
      <c r="I123" s="40" t="n"/>
      <c r="J123" s="40" t="n"/>
      <c r="K123" s="108" t="n"/>
      <c r="L123" s="42" t="n"/>
      <c r="M123" s="108" t="n"/>
      <c r="N123" s="108" t="n"/>
      <c r="O123" s="42" t="n"/>
      <c r="P123" s="40" t="n"/>
      <c r="Q123" s="40" t="n"/>
      <c r="R123" s="108" t="n"/>
      <c r="S123" s="108" t="n"/>
      <c r="T123" s="165">
        <f>IF(Q123="","",IF(Q123="L",ABS((N123-M123)/(M123-K123)),IF(Q123="S",ABS((M123-N123)/(K123-M123)),"")))</f>
        <v/>
      </c>
      <c r="U123" s="41" t="n"/>
      <c r="V123" s="40" t="n"/>
      <c r="W123" s="42">
        <f>IF(V123="","",IF(V123="SL",L123+Y123,IF(V123="TP",O123+Y123,"")))</f>
        <v/>
      </c>
      <c r="X123" s="42" t="n"/>
      <c r="Y123" s="42" t="n"/>
      <c r="Z123" s="42">
        <f>IF(OR(V123="",V123="tp"),"",IF(V123="sl",T123,""))</f>
        <v/>
      </c>
      <c r="AA123" s="42">
        <f>IF(OR(V123="",V123="sl"),"",IF(V123="tp",T123,""))</f>
        <v/>
      </c>
    </row>
    <row r="124" spans="1:27">
      <c r="A124" s="40" t="n">
        <v>121</v>
      </c>
      <c r="B124" s="40" t="n"/>
      <c r="C124" s="41" t="n"/>
      <c r="D124" s="108" t="n"/>
      <c r="E124" s="108" t="n"/>
      <c r="F124" s="108" t="n"/>
      <c r="G124" s="108" t="n"/>
      <c r="H124" s="40" t="n"/>
      <c r="I124" s="40" t="n"/>
      <c r="J124" s="40" t="n"/>
      <c r="K124" s="108" t="n"/>
      <c r="L124" s="42" t="n"/>
      <c r="M124" s="108" t="n"/>
      <c r="N124" s="108" t="n"/>
      <c r="O124" s="42" t="n"/>
      <c r="P124" s="40" t="n"/>
      <c r="Q124" s="40" t="n"/>
      <c r="R124" s="108" t="n"/>
      <c r="S124" s="108" t="n"/>
      <c r="T124" s="165">
        <f>IF(Q124="","",IF(Q124="L",ABS((N124-M124)/(M124-K124)),IF(Q124="S",ABS((M124-N124)/(K124-M124)),"")))</f>
        <v/>
      </c>
      <c r="U124" s="41" t="n"/>
      <c r="V124" s="40" t="n"/>
      <c r="W124" s="42">
        <f>IF(V124="","",IF(V124="SL",L124+Y124,IF(V124="TP",O124+Y124,"")))</f>
        <v/>
      </c>
      <c r="X124" s="42" t="n"/>
      <c r="Y124" s="42" t="n"/>
      <c r="Z124" s="42">
        <f>IF(OR(V124="",V124="tp"),"",IF(V124="sl",T124,""))</f>
        <v/>
      </c>
      <c r="AA124" s="42">
        <f>IF(OR(V124="",V124="sl"),"",IF(V124="tp",T124,""))</f>
        <v/>
      </c>
    </row>
    <row r="125" spans="1:27">
      <c r="A125" s="40" t="n">
        <v>122</v>
      </c>
      <c r="B125" s="40" t="n"/>
      <c r="C125" s="41" t="n"/>
      <c r="D125" s="108" t="n"/>
      <c r="E125" s="108" t="n"/>
      <c r="F125" s="108" t="n"/>
      <c r="G125" s="108" t="n"/>
      <c r="H125" s="40" t="n"/>
      <c r="I125" s="40" t="n"/>
      <c r="J125" s="40" t="n"/>
      <c r="K125" s="108" t="n"/>
      <c r="L125" s="42" t="n"/>
      <c r="M125" s="108" t="n"/>
      <c r="N125" s="108" t="n"/>
      <c r="O125" s="42" t="n"/>
      <c r="P125" s="40" t="n"/>
      <c r="Q125" s="40" t="n"/>
      <c r="R125" s="108" t="n"/>
      <c r="S125" s="108" t="n"/>
      <c r="T125" s="165">
        <f>IF(Q125="","",IF(Q125="L",ABS((N125-M125)/(M125-K125)),IF(Q125="S",ABS((M125-N125)/(K125-M125)),"")))</f>
        <v/>
      </c>
      <c r="U125" s="41" t="n"/>
      <c r="V125" s="40" t="n"/>
      <c r="W125" s="42">
        <f>IF(V125="","",IF(V125="SL",L125+Y125,IF(V125="TP",O125+Y125,"")))</f>
        <v/>
      </c>
      <c r="X125" s="42" t="n"/>
      <c r="Y125" s="42" t="n"/>
      <c r="Z125" s="42">
        <f>IF(OR(V125="",V125="tp"),"",IF(V125="sl",T125,""))</f>
        <v/>
      </c>
      <c r="AA125" s="42">
        <f>IF(OR(V125="",V125="sl"),"",IF(V125="tp",T125,""))</f>
        <v/>
      </c>
    </row>
    <row r="126" spans="1:27">
      <c r="A126" s="40" t="n">
        <v>123</v>
      </c>
      <c r="B126" s="40" t="n"/>
      <c r="C126" s="41" t="n"/>
      <c r="D126" s="108" t="n"/>
      <c r="E126" s="108" t="n"/>
      <c r="F126" s="108" t="n"/>
      <c r="G126" s="108" t="n"/>
      <c r="H126" s="40" t="n"/>
      <c r="I126" s="40" t="n"/>
      <c r="J126" s="40" t="n"/>
      <c r="K126" s="108" t="n"/>
      <c r="L126" s="42" t="n"/>
      <c r="M126" s="108" t="n"/>
      <c r="N126" s="108" t="n"/>
      <c r="O126" s="42" t="n"/>
      <c r="P126" s="40" t="n"/>
      <c r="Q126" s="40" t="n"/>
      <c r="R126" s="108" t="n"/>
      <c r="S126" s="108" t="n"/>
      <c r="T126" s="165">
        <f>IF(Q126="","",IF(Q126="L",ABS((N126-M126)/(M126-K126)),IF(Q126="S",ABS((M126-N126)/(K126-M126)),"")))</f>
        <v/>
      </c>
      <c r="U126" s="41" t="n"/>
      <c r="V126" s="40" t="n"/>
      <c r="W126" s="42">
        <f>IF(V126="","",IF(V126="SL",L126+Y126,IF(V126="TP",O126+Y126,"")))</f>
        <v/>
      </c>
      <c r="X126" s="42" t="n"/>
      <c r="Y126" s="42" t="n"/>
      <c r="Z126" s="42">
        <f>IF(OR(V126="",V126="tp"),"",IF(V126="sl",T126,""))</f>
        <v/>
      </c>
      <c r="AA126" s="42">
        <f>IF(OR(V126="",V126="sl"),"",IF(V126="tp",T126,""))</f>
        <v/>
      </c>
    </row>
    <row r="127" spans="1:27">
      <c r="A127" s="40" t="n">
        <v>124</v>
      </c>
      <c r="B127" s="40" t="n"/>
      <c r="C127" s="41" t="n"/>
      <c r="D127" s="108" t="n"/>
      <c r="E127" s="108" t="n"/>
      <c r="F127" s="108" t="n"/>
      <c r="G127" s="108" t="n"/>
      <c r="H127" s="40" t="n"/>
      <c r="I127" s="40" t="n"/>
      <c r="J127" s="40" t="n"/>
      <c r="K127" s="108" t="n"/>
      <c r="L127" s="42" t="n"/>
      <c r="M127" s="108" t="n"/>
      <c r="N127" s="108" t="n"/>
      <c r="O127" s="42" t="n"/>
      <c r="P127" s="40" t="n"/>
      <c r="Q127" s="40" t="n"/>
      <c r="R127" s="108" t="n"/>
      <c r="S127" s="108" t="n"/>
      <c r="T127" s="165">
        <f>IF(Q127="","",IF(Q127="L",ABS((N127-M127)/(M127-K127)),IF(Q127="S",ABS((M127-N127)/(K127-M127)),"")))</f>
        <v/>
      </c>
      <c r="U127" s="41" t="n"/>
      <c r="V127" s="40" t="n"/>
      <c r="W127" s="42">
        <f>IF(V127="","",IF(V127="SL",L127+Y127,IF(V127="TP",O127+Y127,"")))</f>
        <v/>
      </c>
      <c r="X127" s="42" t="n"/>
      <c r="Y127" s="42" t="n"/>
      <c r="Z127" s="42">
        <f>IF(OR(V127="",V127="tp"),"",IF(V127="sl",T127,""))</f>
        <v/>
      </c>
      <c r="AA127" s="42">
        <f>IF(OR(V127="",V127="sl"),"",IF(V127="tp",T127,""))</f>
        <v/>
      </c>
    </row>
    <row r="128" spans="1:27">
      <c r="A128" s="40" t="n">
        <v>125</v>
      </c>
      <c r="B128" s="40" t="n"/>
      <c r="C128" s="41" t="n"/>
      <c r="D128" s="108" t="n"/>
      <c r="E128" s="108" t="n"/>
      <c r="F128" s="108" t="n"/>
      <c r="G128" s="108" t="n"/>
      <c r="H128" s="40" t="n"/>
      <c r="I128" s="40" t="n"/>
      <c r="J128" s="40" t="n"/>
      <c r="K128" s="108" t="n"/>
      <c r="L128" s="42" t="n"/>
      <c r="M128" s="108" t="n"/>
      <c r="N128" s="108" t="n"/>
      <c r="O128" s="42" t="n"/>
      <c r="P128" s="40" t="n"/>
      <c r="Q128" s="40" t="n"/>
      <c r="R128" s="108" t="n"/>
      <c r="S128" s="108" t="n"/>
      <c r="T128" s="165">
        <f>IF(Q128="","",IF(Q128="L",ABS((N128-M128)/(M128-K128)),IF(Q128="S",ABS((M128-N128)/(K128-M128)),"")))</f>
        <v/>
      </c>
      <c r="U128" s="41" t="n"/>
      <c r="V128" s="40" t="n"/>
      <c r="W128" s="42">
        <f>IF(V128="","",IF(V128="SL",L128+Y128,IF(V128="TP",O128+Y128,"")))</f>
        <v/>
      </c>
      <c r="X128" s="42" t="n"/>
      <c r="Y128" s="42" t="n"/>
      <c r="Z128" s="42">
        <f>IF(OR(V128="",V128="tp"),"",IF(V128="sl",T128,""))</f>
        <v/>
      </c>
      <c r="AA128" s="42">
        <f>IF(OR(V128="",V128="sl"),"",IF(V128="tp",T128,""))</f>
        <v/>
      </c>
    </row>
    <row r="129" spans="1:27">
      <c r="A129" s="40" t="n">
        <v>126</v>
      </c>
      <c r="B129" s="40" t="n"/>
      <c r="C129" s="41" t="n"/>
      <c r="D129" s="108" t="n"/>
      <c r="E129" s="108" t="n"/>
      <c r="F129" s="108" t="n"/>
      <c r="G129" s="108" t="n"/>
      <c r="H129" s="40" t="n"/>
      <c r="I129" s="40" t="n"/>
      <c r="J129" s="40" t="n"/>
      <c r="K129" s="108" t="n"/>
      <c r="L129" s="42" t="n"/>
      <c r="M129" s="108" t="n"/>
      <c r="N129" s="108" t="n"/>
      <c r="O129" s="42" t="n"/>
      <c r="P129" s="40" t="n"/>
      <c r="Q129" s="40" t="n"/>
      <c r="R129" s="108" t="n"/>
      <c r="S129" s="108" t="n"/>
      <c r="T129" s="165">
        <f>IF(Q129="","",IF(Q129="L",ABS((N129-M129)/(M129-K129)),IF(Q129="S",ABS((M129-N129)/(K129-M129)),"")))</f>
        <v/>
      </c>
      <c r="U129" s="41" t="n"/>
      <c r="V129" s="40" t="n"/>
      <c r="W129" s="42">
        <f>IF(V129="","",IF(V129="SL",L129+Y129,IF(V129="TP",O129+Y129,"")))</f>
        <v/>
      </c>
      <c r="X129" s="42" t="n"/>
      <c r="Y129" s="42" t="n"/>
      <c r="Z129" s="42">
        <f>IF(OR(V129="",V129="tp"),"",IF(V129="sl",T129,""))</f>
        <v/>
      </c>
      <c r="AA129" s="42">
        <f>IF(OR(V129="",V129="sl"),"",IF(V129="tp",T129,""))</f>
        <v/>
      </c>
    </row>
    <row r="130" spans="1:27">
      <c r="A130" s="40" t="n">
        <v>127</v>
      </c>
      <c r="B130" s="40" t="n"/>
      <c r="C130" s="41" t="n"/>
      <c r="D130" s="108" t="n"/>
      <c r="E130" s="108" t="n"/>
      <c r="F130" s="108" t="n"/>
      <c r="G130" s="108" t="n"/>
      <c r="H130" s="40" t="n"/>
      <c r="I130" s="40" t="n"/>
      <c r="J130" s="40" t="n"/>
      <c r="K130" s="108" t="n"/>
      <c r="L130" s="42" t="n"/>
      <c r="M130" s="108" t="n"/>
      <c r="N130" s="108" t="n"/>
      <c r="O130" s="42" t="n"/>
      <c r="P130" s="40" t="n"/>
      <c r="Q130" s="40" t="n"/>
      <c r="R130" s="108" t="n"/>
      <c r="S130" s="108" t="n"/>
      <c r="T130" s="165">
        <f>IF(Q130="","",IF(Q130="L",ABS((N130-M130)/(M130-K130)),IF(Q130="S",ABS((M130-N130)/(K130-M130)),"")))</f>
        <v/>
      </c>
      <c r="U130" s="41" t="n"/>
      <c r="V130" s="40" t="n"/>
      <c r="W130" s="42">
        <f>IF(V130="","",IF(V130="SL",L130+Y130,IF(V130="TP",O130+Y130,"")))</f>
        <v/>
      </c>
      <c r="X130" s="42" t="n"/>
      <c r="Y130" s="42" t="n"/>
      <c r="Z130" s="42">
        <f>IF(OR(V130="",V130="tp"),"",IF(V130="sl",T130,""))</f>
        <v/>
      </c>
      <c r="AA130" s="42">
        <f>IF(OR(V130="",V130="sl"),"",IF(V130="tp",T130,""))</f>
        <v/>
      </c>
    </row>
    <row r="131" spans="1:27">
      <c r="A131" s="40" t="n">
        <v>128</v>
      </c>
      <c r="B131" s="40" t="n"/>
      <c r="C131" s="41" t="n"/>
      <c r="D131" s="108" t="n"/>
      <c r="E131" s="108" t="n"/>
      <c r="F131" s="108" t="n"/>
      <c r="G131" s="108" t="n"/>
      <c r="H131" s="40" t="n"/>
      <c r="I131" s="40" t="n"/>
      <c r="J131" s="40" t="n"/>
      <c r="K131" s="108" t="n"/>
      <c r="L131" s="42" t="n"/>
      <c r="M131" s="108" t="n"/>
      <c r="N131" s="108" t="n"/>
      <c r="O131" s="42" t="n"/>
      <c r="P131" s="40" t="n"/>
      <c r="Q131" s="40" t="n"/>
      <c r="R131" s="108" t="n"/>
      <c r="S131" s="108" t="n"/>
      <c r="T131" s="165">
        <f>IF(Q131="","",IF(Q131="L",ABS((N131-M131)/(M131-K131)),IF(Q131="S",ABS((M131-N131)/(K131-M131)),"")))</f>
        <v/>
      </c>
      <c r="U131" s="41" t="n"/>
      <c r="V131" s="40" t="n"/>
      <c r="W131" s="42">
        <f>IF(V131="","",IF(V131="SL",L131+Y131,IF(V131="TP",O131+Y131,"")))</f>
        <v/>
      </c>
      <c r="X131" s="42" t="n"/>
      <c r="Y131" s="42" t="n"/>
      <c r="Z131" s="42">
        <f>IF(OR(V131="",V131="tp"),"",IF(V131="sl",T131,""))</f>
        <v/>
      </c>
      <c r="AA131" s="42">
        <f>IF(OR(V131="",V131="sl"),"",IF(V131="tp",T131,""))</f>
        <v/>
      </c>
    </row>
    <row r="132" spans="1:27">
      <c r="A132" s="40" t="n">
        <v>129</v>
      </c>
      <c r="B132" s="40" t="n"/>
      <c r="C132" s="41" t="n"/>
      <c r="D132" s="108" t="n"/>
      <c r="E132" s="108" t="n"/>
      <c r="F132" s="108" t="n"/>
      <c r="G132" s="108" t="n"/>
      <c r="H132" s="40" t="n"/>
      <c r="I132" s="40" t="n"/>
      <c r="J132" s="40" t="n"/>
      <c r="K132" s="108" t="n"/>
      <c r="L132" s="42" t="n"/>
      <c r="M132" s="108" t="n"/>
      <c r="N132" s="108" t="n"/>
      <c r="O132" s="42" t="n"/>
      <c r="P132" s="40" t="n"/>
      <c r="Q132" s="40" t="n"/>
      <c r="R132" s="108" t="n"/>
      <c r="S132" s="108" t="n"/>
      <c r="T132" s="165">
        <f>IF(Q132="","",IF(Q132="L",ABS((N132-M132)/(M132-K132)),IF(Q132="S",ABS((M132-N132)/(K132-M132)),"")))</f>
        <v/>
      </c>
      <c r="U132" s="41" t="n"/>
      <c r="V132" s="40" t="n"/>
      <c r="W132" s="42">
        <f>IF(V132="","",IF(V132="SL",L132+Y132,IF(V132="TP",O132+Y132,"")))</f>
        <v/>
      </c>
      <c r="X132" s="42" t="n"/>
      <c r="Y132" s="42" t="n"/>
      <c r="Z132" s="42">
        <f>IF(OR(V132="",V132="tp"),"",IF(V132="sl",T132,""))</f>
        <v/>
      </c>
      <c r="AA132" s="42">
        <f>IF(OR(V132="",V132="sl"),"",IF(V132="tp",T132,""))</f>
        <v/>
      </c>
    </row>
    <row r="133" spans="1:27">
      <c r="A133" s="40" t="n">
        <v>130</v>
      </c>
      <c r="B133" s="40" t="n"/>
      <c r="C133" s="41" t="n"/>
      <c r="D133" s="108" t="n"/>
      <c r="E133" s="108" t="n"/>
      <c r="F133" s="108" t="n"/>
      <c r="G133" s="108" t="n"/>
      <c r="H133" s="40" t="n"/>
      <c r="I133" s="40" t="n"/>
      <c r="J133" s="40" t="n"/>
      <c r="K133" s="108" t="n"/>
      <c r="L133" s="42" t="n"/>
      <c r="M133" s="108" t="n"/>
      <c r="N133" s="108" t="n"/>
      <c r="O133" s="42" t="n"/>
      <c r="P133" s="40" t="n"/>
      <c r="Q133" s="40" t="n"/>
      <c r="R133" s="108" t="n"/>
      <c r="S133" s="108" t="n"/>
      <c r="T133" s="165">
        <f>IF(Q133="","",IF(Q133="L",ABS((N133-M133)/(M133-K133)),IF(Q133="S",ABS((M133-N133)/(K133-M133)),"")))</f>
        <v/>
      </c>
      <c r="U133" s="41" t="n"/>
      <c r="V133" s="40" t="n"/>
      <c r="W133" s="42">
        <f>IF(V133="","",IF(V133="SL",L133+Y133,IF(V133="TP",O133+Y133,"")))</f>
        <v/>
      </c>
      <c r="X133" s="42" t="n"/>
      <c r="Y133" s="42" t="n"/>
      <c r="Z133" s="42">
        <f>IF(OR(V133="",V133="tp"),"",IF(V133="sl",T133,""))</f>
        <v/>
      </c>
      <c r="AA133" s="42">
        <f>IF(OR(V133="",V133="sl"),"",IF(V133="tp",T133,""))</f>
        <v/>
      </c>
    </row>
    <row r="134" spans="1:27">
      <c r="A134" s="40" t="n">
        <v>131</v>
      </c>
      <c r="B134" s="40" t="n"/>
      <c r="C134" s="41" t="n"/>
      <c r="D134" s="108" t="n"/>
      <c r="E134" s="108" t="n"/>
      <c r="F134" s="108" t="n"/>
      <c r="G134" s="108" t="n"/>
      <c r="H134" s="40" t="n"/>
      <c r="I134" s="40" t="n"/>
      <c r="J134" s="40" t="n"/>
      <c r="K134" s="108" t="n"/>
      <c r="L134" s="42" t="n"/>
      <c r="M134" s="108" t="n"/>
      <c r="N134" s="108" t="n"/>
      <c r="O134" s="42" t="n"/>
      <c r="P134" s="40" t="n"/>
      <c r="Q134" s="40" t="n"/>
      <c r="R134" s="108" t="n"/>
      <c r="S134" s="108" t="n"/>
      <c r="T134" s="165">
        <f>IF(Q134="","",IF(Q134="L",ABS((N134-M134)/(M134-K134)),IF(Q134="S",ABS((M134-N134)/(K134-M134)),"")))</f>
        <v/>
      </c>
      <c r="U134" s="41" t="n"/>
      <c r="V134" s="40" t="n"/>
      <c r="W134" s="42">
        <f>IF(V134="","",IF(V134="SL",L134+Y134,IF(V134="TP",O134+Y134,"")))</f>
        <v/>
      </c>
      <c r="X134" s="42" t="n"/>
      <c r="Y134" s="42" t="n"/>
      <c r="Z134" s="42">
        <f>IF(OR(V134="",V134="tp"),"",IF(V134="sl",T134,""))</f>
        <v/>
      </c>
      <c r="AA134" s="42">
        <f>IF(OR(V134="",V134="sl"),"",IF(V134="tp",T134,""))</f>
        <v/>
      </c>
    </row>
    <row r="135" spans="1:27">
      <c r="A135" s="40" t="n">
        <v>132</v>
      </c>
      <c r="B135" s="40" t="n"/>
      <c r="C135" s="41" t="n"/>
      <c r="D135" s="108" t="n"/>
      <c r="E135" s="108" t="n"/>
      <c r="F135" s="108" t="n"/>
      <c r="G135" s="108" t="n"/>
      <c r="H135" s="40" t="n"/>
      <c r="I135" s="40" t="n"/>
      <c r="J135" s="40" t="n"/>
      <c r="K135" s="108" t="n"/>
      <c r="L135" s="42" t="n"/>
      <c r="M135" s="108" t="n"/>
      <c r="N135" s="108" t="n"/>
      <c r="O135" s="42" t="n"/>
      <c r="P135" s="40" t="n"/>
      <c r="Q135" s="40" t="n"/>
      <c r="R135" s="108" t="n"/>
      <c r="S135" s="108" t="n"/>
      <c r="T135" s="165">
        <f>IF(Q135="","",IF(Q135="L",ABS((N135-M135)/(M135-K135)),IF(Q135="S",ABS((M135-N135)/(K135-M135)),"")))</f>
        <v/>
      </c>
      <c r="U135" s="41" t="n"/>
      <c r="V135" s="40" t="n"/>
      <c r="W135" s="42">
        <f>IF(V135="","",IF(V135="SL",L135+Y135,IF(V135="TP",O135+Y135,"")))</f>
        <v/>
      </c>
      <c r="X135" s="42" t="n"/>
      <c r="Y135" s="42" t="n"/>
      <c r="Z135" s="42">
        <f>IF(OR(V135="",V135="tp"),"",IF(V135="sl",T135,""))</f>
        <v/>
      </c>
      <c r="AA135" s="42">
        <f>IF(OR(V135="",V135="sl"),"",IF(V135="tp",T135,""))</f>
        <v/>
      </c>
    </row>
    <row r="136" spans="1:27">
      <c r="A136" s="40" t="n">
        <v>133</v>
      </c>
      <c r="B136" s="40" t="n"/>
      <c r="C136" s="41" t="n"/>
      <c r="D136" s="108" t="n"/>
      <c r="E136" s="108" t="n"/>
      <c r="F136" s="108" t="n"/>
      <c r="G136" s="108" t="n"/>
      <c r="H136" s="40" t="n"/>
      <c r="I136" s="40" t="n"/>
      <c r="J136" s="40" t="n"/>
      <c r="K136" s="108" t="n"/>
      <c r="L136" s="42" t="n"/>
      <c r="M136" s="108" t="n"/>
      <c r="N136" s="108" t="n"/>
      <c r="O136" s="42" t="n"/>
      <c r="P136" s="40" t="n"/>
      <c r="Q136" s="40" t="n"/>
      <c r="R136" s="108" t="n"/>
      <c r="S136" s="108" t="n"/>
      <c r="T136" s="165">
        <f>IF(Q136="","",IF(Q136="L",ABS((N136-M136)/(M136-K136)),IF(Q136="S",ABS((M136-N136)/(K136-M136)),"")))</f>
        <v/>
      </c>
      <c r="U136" s="41" t="n"/>
      <c r="V136" s="40" t="n"/>
      <c r="W136" s="42">
        <f>IF(V136="","",IF(V136="SL",L136+Y136,IF(V136="TP",O136+Y136,"")))</f>
        <v/>
      </c>
      <c r="X136" s="42" t="n"/>
      <c r="Y136" s="42" t="n"/>
      <c r="Z136" s="42">
        <f>IF(OR(V136="",V136="tp"),"",IF(V136="sl",T136,""))</f>
        <v/>
      </c>
      <c r="AA136" s="42">
        <f>IF(OR(V136="",V136="sl"),"",IF(V136="tp",T136,""))</f>
        <v/>
      </c>
    </row>
    <row r="137" spans="1:27">
      <c r="A137" s="40" t="n">
        <v>134</v>
      </c>
      <c r="B137" s="40" t="n"/>
      <c r="C137" s="41" t="n"/>
      <c r="D137" s="108" t="n"/>
      <c r="E137" s="108" t="n"/>
      <c r="F137" s="108" t="n"/>
      <c r="G137" s="108" t="n"/>
      <c r="H137" s="40" t="n"/>
      <c r="I137" s="40" t="n"/>
      <c r="J137" s="40" t="n"/>
      <c r="K137" s="108" t="n"/>
      <c r="L137" s="42" t="n"/>
      <c r="M137" s="108" t="n"/>
      <c r="N137" s="108" t="n"/>
      <c r="O137" s="42" t="n"/>
      <c r="P137" s="40" t="n"/>
      <c r="Q137" s="40" t="n"/>
      <c r="R137" s="108" t="n"/>
      <c r="S137" s="108" t="n"/>
      <c r="T137" s="165">
        <f>IF(Q137="","",IF(Q137="L",ABS((N137-M137)/(M137-K137)),IF(Q137="S",ABS((M137-N137)/(K137-M137)),"")))</f>
        <v/>
      </c>
      <c r="U137" s="41" t="n"/>
      <c r="V137" s="40" t="n"/>
      <c r="W137" s="42">
        <f>IF(V137="","",IF(V137="SL",L137+Y137,IF(V137="TP",O137+Y137,"")))</f>
        <v/>
      </c>
      <c r="X137" s="42" t="n"/>
      <c r="Y137" s="42" t="n"/>
      <c r="Z137" s="42">
        <f>IF(OR(V137="",V137="tp"),"",IF(V137="sl",T137,""))</f>
        <v/>
      </c>
      <c r="AA137" s="42">
        <f>IF(OR(V137="",V137="sl"),"",IF(V137="tp",T137,""))</f>
        <v/>
      </c>
    </row>
    <row r="138" spans="1:27">
      <c r="A138" s="40" t="n">
        <v>135</v>
      </c>
      <c r="B138" s="40" t="n"/>
      <c r="C138" s="41" t="n"/>
      <c r="D138" s="108" t="n"/>
      <c r="E138" s="108" t="n"/>
      <c r="F138" s="108" t="n"/>
      <c r="G138" s="108" t="n"/>
      <c r="H138" s="40" t="n"/>
      <c r="I138" s="40" t="n"/>
      <c r="J138" s="40" t="n"/>
      <c r="K138" s="108" t="n"/>
      <c r="L138" s="42" t="n"/>
      <c r="M138" s="108" t="n"/>
      <c r="N138" s="108" t="n"/>
      <c r="O138" s="42" t="n"/>
      <c r="P138" s="40" t="n"/>
      <c r="Q138" s="40" t="n"/>
      <c r="R138" s="108" t="n"/>
      <c r="S138" s="108" t="n"/>
      <c r="T138" s="165">
        <f>IF(Q138="","",IF(Q138="L",ABS((N138-M138)/(M138-K138)),IF(Q138="S",ABS((M138-N138)/(K138-M138)),"")))</f>
        <v/>
      </c>
      <c r="U138" s="41" t="n"/>
      <c r="V138" s="40" t="n"/>
      <c r="W138" s="42">
        <f>IF(V138="","",IF(V138="SL",L138+Y138,IF(V138="TP",O138+Y138,"")))</f>
        <v/>
      </c>
      <c r="X138" s="42" t="n"/>
      <c r="Y138" s="42" t="n"/>
      <c r="Z138" s="42">
        <f>IF(OR(V138="",V138="tp"),"",IF(V138="sl",T138,""))</f>
        <v/>
      </c>
      <c r="AA138" s="42">
        <f>IF(OR(V138="",V138="sl"),"",IF(V138="tp",T138,""))</f>
        <v/>
      </c>
    </row>
    <row r="139" spans="1:27">
      <c r="A139" s="40" t="n">
        <v>136</v>
      </c>
      <c r="B139" s="40" t="n"/>
      <c r="C139" s="41" t="n"/>
      <c r="D139" s="108" t="n"/>
      <c r="E139" s="108" t="n"/>
      <c r="F139" s="108" t="n"/>
      <c r="G139" s="108" t="n"/>
      <c r="H139" s="40" t="n"/>
      <c r="I139" s="40" t="n"/>
      <c r="J139" s="40" t="n"/>
      <c r="K139" s="108" t="n"/>
      <c r="L139" s="42" t="n"/>
      <c r="M139" s="108" t="n"/>
      <c r="N139" s="108" t="n"/>
      <c r="O139" s="42" t="n"/>
      <c r="P139" s="40" t="n"/>
      <c r="Q139" s="40" t="n"/>
      <c r="R139" s="108" t="n"/>
      <c r="S139" s="108" t="n"/>
      <c r="T139" s="165">
        <f>IF(Q139="","",IF(Q139="L",ABS((N139-M139)/(M139-K139)),IF(Q139="S",ABS((M139-N139)/(K139-M139)),"")))</f>
        <v/>
      </c>
      <c r="U139" s="41" t="n"/>
      <c r="V139" s="40" t="n"/>
      <c r="W139" s="42">
        <f>IF(V139="","",IF(V139="SL",L139+Y139,IF(V139="TP",O139+Y139,"")))</f>
        <v/>
      </c>
      <c r="X139" s="42" t="n"/>
      <c r="Y139" s="42" t="n"/>
      <c r="Z139" s="42">
        <f>IF(OR(V139="",V139="tp"),"",IF(V139="sl",T139,""))</f>
        <v/>
      </c>
      <c r="AA139" s="42">
        <f>IF(OR(V139="",V139="sl"),"",IF(V139="tp",T139,""))</f>
        <v/>
      </c>
    </row>
    <row r="140" spans="1:27">
      <c r="A140" s="40" t="n">
        <v>137</v>
      </c>
      <c r="B140" s="40" t="n"/>
      <c r="C140" s="41" t="n"/>
      <c r="D140" s="108" t="n"/>
      <c r="E140" s="108" t="n"/>
      <c r="F140" s="108" t="n"/>
      <c r="G140" s="108" t="n"/>
      <c r="H140" s="40" t="n"/>
      <c r="I140" s="40" t="n"/>
      <c r="J140" s="40" t="n"/>
      <c r="K140" s="108" t="n"/>
      <c r="L140" s="42" t="n"/>
      <c r="M140" s="108" t="n"/>
      <c r="N140" s="108" t="n"/>
      <c r="O140" s="42" t="n"/>
      <c r="P140" s="40" t="n"/>
      <c r="Q140" s="40" t="n"/>
      <c r="R140" s="108" t="n"/>
      <c r="S140" s="108" t="n"/>
      <c r="T140" s="165">
        <f>IF(Q140="","",IF(Q140="L",ABS((N140-M140)/(M140-K140)),IF(Q140="S",ABS((M140-N140)/(K140-M140)),"")))</f>
        <v/>
      </c>
      <c r="U140" s="41" t="n"/>
      <c r="V140" s="40" t="n"/>
      <c r="W140" s="42">
        <f>IF(V140="","",IF(V140="SL",L140+Y140,IF(V140="TP",O140+Y140,"")))</f>
        <v/>
      </c>
      <c r="X140" s="42" t="n"/>
      <c r="Y140" s="42" t="n"/>
      <c r="Z140" s="42">
        <f>IF(OR(V140="",V140="tp"),"",IF(V140="sl",T140,""))</f>
        <v/>
      </c>
      <c r="AA140" s="42">
        <f>IF(OR(V140="",V140="sl"),"",IF(V140="tp",T140,""))</f>
        <v/>
      </c>
    </row>
    <row r="141" spans="1:27">
      <c r="A141" s="40" t="n">
        <v>138</v>
      </c>
      <c r="B141" s="40" t="n"/>
      <c r="C141" s="41" t="n"/>
      <c r="D141" s="108" t="n"/>
      <c r="E141" s="108" t="n"/>
      <c r="F141" s="108" t="n"/>
      <c r="G141" s="108" t="n"/>
      <c r="H141" s="40" t="n"/>
      <c r="I141" s="40" t="n"/>
      <c r="J141" s="40" t="n"/>
      <c r="K141" s="108" t="n"/>
      <c r="L141" s="42" t="n"/>
      <c r="M141" s="108" t="n"/>
      <c r="N141" s="108" t="n"/>
      <c r="O141" s="42" t="n"/>
      <c r="P141" s="40" t="n"/>
      <c r="Q141" s="40" t="n"/>
      <c r="R141" s="108" t="n"/>
      <c r="S141" s="108" t="n"/>
      <c r="T141" s="165">
        <f>IF(Q141="","",IF(Q141="L",ABS((N141-M141)/(M141-K141)),IF(Q141="S",ABS((M141-N141)/(K141-M141)),"")))</f>
        <v/>
      </c>
      <c r="U141" s="41" t="n"/>
      <c r="V141" s="40" t="n"/>
      <c r="W141" s="42">
        <f>IF(V141="","",IF(V141="SL",L141+Y141,IF(V141="TP",O141+Y141,"")))</f>
        <v/>
      </c>
      <c r="X141" s="42" t="n"/>
      <c r="Y141" s="42" t="n"/>
      <c r="Z141" s="42">
        <f>IF(OR(V141="",V141="tp"),"",IF(V141="sl",T141,""))</f>
        <v/>
      </c>
      <c r="AA141" s="42">
        <f>IF(OR(V141="",V141="sl"),"",IF(V141="tp",T141,""))</f>
        <v/>
      </c>
    </row>
    <row r="142" spans="1:27">
      <c r="A142" s="40" t="n">
        <v>139</v>
      </c>
      <c r="B142" s="40" t="n"/>
      <c r="C142" s="41" t="n"/>
      <c r="D142" s="108" t="n"/>
      <c r="E142" s="108" t="n"/>
      <c r="F142" s="108" t="n"/>
      <c r="G142" s="108" t="n"/>
      <c r="H142" s="40" t="n"/>
      <c r="I142" s="40" t="n"/>
      <c r="J142" s="40" t="n"/>
      <c r="K142" s="108" t="n"/>
      <c r="L142" s="42" t="n"/>
      <c r="M142" s="108" t="n"/>
      <c r="N142" s="108" t="n"/>
      <c r="O142" s="42" t="n"/>
      <c r="P142" s="40" t="n"/>
      <c r="Q142" s="40" t="n"/>
      <c r="R142" s="108" t="n"/>
      <c r="S142" s="108" t="n"/>
      <c r="T142" s="165">
        <f>IF(Q142="","",IF(Q142="L",ABS((N142-M142)/(M142-K142)),IF(Q142="S",ABS((M142-N142)/(K142-M142)),"")))</f>
        <v/>
      </c>
      <c r="U142" s="41" t="n"/>
      <c r="V142" s="40" t="n"/>
      <c r="W142" s="42">
        <f>IF(V142="","",IF(V142="SL",L142+Y142,IF(V142="TP",O142+Y142,"")))</f>
        <v/>
      </c>
      <c r="X142" s="42" t="n"/>
      <c r="Y142" s="42" t="n"/>
      <c r="Z142" s="42">
        <f>IF(OR(V142="",V142="tp"),"",IF(V142="sl",T142,""))</f>
        <v/>
      </c>
      <c r="AA142" s="42">
        <f>IF(OR(V142="",V142="sl"),"",IF(V142="tp",T142,""))</f>
        <v/>
      </c>
    </row>
    <row r="143" spans="1:27">
      <c r="A143" s="40" t="n">
        <v>140</v>
      </c>
      <c r="B143" s="40" t="n"/>
      <c r="C143" s="41" t="n"/>
      <c r="D143" s="108" t="n"/>
      <c r="E143" s="108" t="n"/>
      <c r="F143" s="108" t="n"/>
      <c r="G143" s="108" t="n"/>
      <c r="H143" s="40" t="n"/>
      <c r="I143" s="40" t="n"/>
      <c r="J143" s="40" t="n"/>
      <c r="K143" s="108" t="n"/>
      <c r="L143" s="42" t="n"/>
      <c r="M143" s="108" t="n"/>
      <c r="N143" s="108" t="n"/>
      <c r="O143" s="42" t="n"/>
      <c r="P143" s="40" t="n"/>
      <c r="Q143" s="40" t="n"/>
      <c r="R143" s="108" t="n"/>
      <c r="S143" s="108" t="n"/>
      <c r="T143" s="165">
        <f>IF(Q143="","",IF(Q143="L",ABS((N143-M143)/(M143-K143)),IF(Q143="S",ABS((M143-N143)/(K143-M143)),"")))</f>
        <v/>
      </c>
      <c r="U143" s="41" t="n"/>
      <c r="V143" s="40" t="n"/>
      <c r="W143" s="42">
        <f>IF(V143="","",IF(V143="SL",L143+Y143,IF(V143="TP",O143+Y143,"")))</f>
        <v/>
      </c>
      <c r="X143" s="42" t="n"/>
      <c r="Y143" s="42" t="n"/>
      <c r="Z143" s="42">
        <f>IF(OR(V143="",V143="tp"),"",IF(V143="sl",T143,""))</f>
        <v/>
      </c>
      <c r="AA143" s="42">
        <f>IF(OR(V143="",V143="sl"),"",IF(V143="tp",T143,""))</f>
        <v/>
      </c>
    </row>
    <row r="144" spans="1:27">
      <c r="A144" s="40" t="n">
        <v>141</v>
      </c>
      <c r="B144" s="40" t="n"/>
      <c r="C144" s="41" t="n"/>
      <c r="D144" s="108" t="n"/>
      <c r="E144" s="108" t="n"/>
      <c r="F144" s="108" t="n"/>
      <c r="G144" s="108" t="n"/>
      <c r="H144" s="40" t="n"/>
      <c r="I144" s="40" t="n"/>
      <c r="J144" s="40" t="n"/>
      <c r="K144" s="108" t="n"/>
      <c r="L144" s="42" t="n"/>
      <c r="M144" s="108" t="n"/>
      <c r="N144" s="108" t="n"/>
      <c r="O144" s="42" t="n"/>
      <c r="P144" s="40" t="n"/>
      <c r="Q144" s="40" t="n"/>
      <c r="R144" s="108" t="n"/>
      <c r="S144" s="108" t="n"/>
      <c r="T144" s="165">
        <f>IF(Q144="","",IF(Q144="L",ABS((N144-M144)/(M144-K144)),IF(Q144="S",ABS((M144-N144)/(K144-M144)),"")))</f>
        <v/>
      </c>
      <c r="U144" s="41" t="n"/>
      <c r="V144" s="40" t="n"/>
      <c r="W144" s="42">
        <f>IF(V144="","",IF(V144="SL",L144+Y144,IF(V144="TP",O144+Y144,"")))</f>
        <v/>
      </c>
      <c r="X144" s="42" t="n"/>
      <c r="Y144" s="42" t="n"/>
      <c r="Z144" s="42">
        <f>IF(OR(V144="",V144="tp"),"",IF(V144="sl",T144,""))</f>
        <v/>
      </c>
      <c r="AA144" s="42">
        <f>IF(OR(V144="",V144="sl"),"",IF(V144="tp",T144,""))</f>
        <v/>
      </c>
    </row>
    <row r="145" spans="1:27">
      <c r="A145" s="40" t="n">
        <v>142</v>
      </c>
      <c r="B145" s="40" t="n"/>
      <c r="C145" s="41" t="n"/>
      <c r="D145" s="108" t="n"/>
      <c r="E145" s="108" t="n"/>
      <c r="F145" s="108" t="n"/>
      <c r="G145" s="108" t="n"/>
      <c r="H145" s="40" t="n"/>
      <c r="I145" s="40" t="n"/>
      <c r="J145" s="40" t="n"/>
      <c r="K145" s="108" t="n"/>
      <c r="L145" s="42" t="n"/>
      <c r="M145" s="108" t="n"/>
      <c r="N145" s="108" t="n"/>
      <c r="O145" s="42" t="n"/>
      <c r="P145" s="40" t="n"/>
      <c r="Q145" s="40" t="n"/>
      <c r="R145" s="108" t="n"/>
      <c r="S145" s="108" t="n"/>
      <c r="T145" s="165">
        <f>IF(Q145="","",IF(Q145="L",ABS((N145-M145)/(M145-K145)),IF(Q145="S",ABS((M145-N145)/(K145-M145)),"")))</f>
        <v/>
      </c>
      <c r="U145" s="41" t="n"/>
      <c r="V145" s="40" t="n"/>
      <c r="W145" s="42">
        <f>IF(V145="","",IF(V145="SL",L145+Y145,IF(V145="TP",O145+Y145,"")))</f>
        <v/>
      </c>
      <c r="X145" s="42" t="n"/>
      <c r="Y145" s="42" t="n"/>
      <c r="Z145" s="42">
        <f>IF(OR(V145="",V145="tp"),"",IF(V145="sl",T145,""))</f>
        <v/>
      </c>
      <c r="AA145" s="42">
        <f>IF(OR(V145="",V145="sl"),"",IF(V145="tp",T145,""))</f>
        <v/>
      </c>
    </row>
    <row r="146" spans="1:27">
      <c r="A146" s="40" t="n">
        <v>143</v>
      </c>
      <c r="B146" s="40" t="n"/>
      <c r="C146" s="41" t="n"/>
      <c r="D146" s="108" t="n"/>
      <c r="E146" s="108" t="n"/>
      <c r="F146" s="108" t="n"/>
      <c r="G146" s="108" t="n"/>
      <c r="H146" s="40" t="n"/>
      <c r="I146" s="40" t="n"/>
      <c r="J146" s="40" t="n"/>
      <c r="K146" s="108" t="n"/>
      <c r="L146" s="42" t="n"/>
      <c r="M146" s="108" t="n"/>
      <c r="N146" s="108" t="n"/>
      <c r="O146" s="42" t="n"/>
      <c r="P146" s="40" t="n"/>
      <c r="Q146" s="40" t="n"/>
      <c r="R146" s="108" t="n"/>
      <c r="S146" s="108" t="n"/>
      <c r="T146" s="165">
        <f>IF(Q146="","",IF(Q146="L",ABS((N146-M146)/(M146-K146)),IF(Q146="S",ABS((M146-N146)/(K146-M146)),"")))</f>
        <v/>
      </c>
      <c r="U146" s="41" t="n"/>
      <c r="V146" s="40" t="n"/>
      <c r="W146" s="42">
        <f>IF(V146="","",IF(V146="SL",L146+Y146,IF(V146="TP",O146+Y146,"")))</f>
        <v/>
      </c>
      <c r="X146" s="42" t="n"/>
      <c r="Y146" s="42" t="n"/>
      <c r="Z146" s="42">
        <f>IF(OR(V146="",V146="tp"),"",IF(V146="sl",T146,""))</f>
        <v/>
      </c>
      <c r="AA146" s="42">
        <f>IF(OR(V146="",V146="sl"),"",IF(V146="tp",T146,""))</f>
        <v/>
      </c>
    </row>
    <row r="147" spans="1:27">
      <c r="A147" s="40" t="n">
        <v>144</v>
      </c>
      <c r="B147" s="40" t="n"/>
      <c r="C147" s="41" t="n"/>
      <c r="D147" s="108" t="n"/>
      <c r="E147" s="108" t="n"/>
      <c r="F147" s="108" t="n"/>
      <c r="G147" s="108" t="n"/>
      <c r="H147" s="40" t="n"/>
      <c r="I147" s="40" t="n"/>
      <c r="J147" s="40" t="n"/>
      <c r="K147" s="108" t="n"/>
      <c r="L147" s="42" t="n"/>
      <c r="M147" s="108" t="n"/>
      <c r="N147" s="108" t="n"/>
      <c r="O147" s="42" t="n"/>
      <c r="P147" s="40" t="n"/>
      <c r="Q147" s="40" t="n"/>
      <c r="R147" s="108" t="n"/>
      <c r="S147" s="108" t="n"/>
      <c r="T147" s="165">
        <f>IF(Q147="","",IF(Q147="L",ABS((N147-M147)/(M147-K147)),IF(Q147="S",ABS((M147-N147)/(K147-M147)),"")))</f>
        <v/>
      </c>
      <c r="U147" s="41" t="n"/>
      <c r="V147" s="40" t="n"/>
      <c r="W147" s="42">
        <f>IF(V147="","",IF(V147="SL",L147+Y147,IF(V147="TP",O147+Y147,"")))</f>
        <v/>
      </c>
      <c r="X147" s="42" t="n"/>
      <c r="Y147" s="42" t="n"/>
      <c r="Z147" s="42">
        <f>IF(OR(V147="",V147="tp"),"",IF(V147="sl",T147,""))</f>
        <v/>
      </c>
      <c r="AA147" s="42">
        <f>IF(OR(V147="",V147="sl"),"",IF(V147="tp",T147,""))</f>
        <v/>
      </c>
    </row>
    <row r="148" spans="1:27">
      <c r="A148" s="40" t="n">
        <v>145</v>
      </c>
      <c r="B148" s="40" t="n"/>
      <c r="C148" s="41" t="n"/>
      <c r="D148" s="108" t="n"/>
      <c r="E148" s="108" t="n"/>
      <c r="F148" s="108" t="n"/>
      <c r="G148" s="108" t="n"/>
      <c r="H148" s="40" t="n"/>
      <c r="I148" s="40" t="n"/>
      <c r="J148" s="40" t="n"/>
      <c r="K148" s="108" t="n"/>
      <c r="L148" s="42" t="n"/>
      <c r="M148" s="108" t="n"/>
      <c r="N148" s="108" t="n"/>
      <c r="O148" s="42" t="n"/>
      <c r="P148" s="40" t="n"/>
      <c r="Q148" s="40" t="n"/>
      <c r="R148" s="108" t="n"/>
      <c r="S148" s="108" t="n"/>
      <c r="T148" s="165">
        <f>IF(Q148="","",IF(Q148="L",ABS((N148-M148)/(M148-K148)),IF(Q148="S",ABS((M148-N148)/(K148-M148)),"")))</f>
        <v/>
      </c>
      <c r="U148" s="41" t="n"/>
      <c r="V148" s="40" t="n"/>
      <c r="W148" s="42">
        <f>IF(V148="","",IF(V148="SL",L148+Y148,IF(V148="TP",O148+Y148,"")))</f>
        <v/>
      </c>
      <c r="X148" s="42" t="n"/>
      <c r="Y148" s="42" t="n"/>
      <c r="Z148" s="42">
        <f>IF(OR(V148="",V148="tp"),"",IF(V148="sl",T148,""))</f>
        <v/>
      </c>
      <c r="AA148" s="42">
        <f>IF(OR(V148="",V148="sl"),"",IF(V148="tp",T148,""))</f>
        <v/>
      </c>
    </row>
    <row r="149" spans="1:27">
      <c r="A149" s="40" t="n">
        <v>146</v>
      </c>
      <c r="B149" s="40" t="n"/>
      <c r="C149" s="41" t="n"/>
      <c r="D149" s="108" t="n"/>
      <c r="E149" s="108" t="n"/>
      <c r="F149" s="108" t="n"/>
      <c r="G149" s="108" t="n"/>
      <c r="H149" s="40" t="n"/>
      <c r="I149" s="40" t="n"/>
      <c r="J149" s="40" t="n"/>
      <c r="K149" s="108" t="n"/>
      <c r="L149" s="42" t="n"/>
      <c r="M149" s="108" t="n"/>
      <c r="N149" s="108" t="n"/>
      <c r="O149" s="42" t="n"/>
      <c r="P149" s="40" t="n"/>
      <c r="Q149" s="40" t="n"/>
      <c r="R149" s="108" t="n"/>
      <c r="S149" s="108" t="n"/>
      <c r="T149" s="165">
        <f>IF(Q149="","",IF(Q149="L",ABS((N149-M149)/(M149-K149)),IF(Q149="S",ABS((M149-N149)/(K149-M149)),"")))</f>
        <v/>
      </c>
      <c r="U149" s="41" t="n"/>
      <c r="V149" s="40" t="n"/>
      <c r="W149" s="42">
        <f>IF(V149="","",IF(V149="SL",L149+Y149,IF(V149="TP",O149+Y149,"")))</f>
        <v/>
      </c>
      <c r="X149" s="42" t="n"/>
      <c r="Y149" s="42" t="n"/>
      <c r="Z149" s="42">
        <f>IF(OR(V149="",V149="tp"),"",IF(V149="sl",T149,""))</f>
        <v/>
      </c>
      <c r="AA149" s="42">
        <f>IF(OR(V149="",V149="sl"),"",IF(V149="tp",T149,""))</f>
        <v/>
      </c>
    </row>
    <row r="150" spans="1:27">
      <c r="A150" s="40" t="n">
        <v>147</v>
      </c>
      <c r="B150" s="40" t="n"/>
      <c r="C150" s="41" t="n"/>
      <c r="D150" s="108" t="n"/>
      <c r="E150" s="108" t="n"/>
      <c r="F150" s="108" t="n"/>
      <c r="G150" s="108" t="n"/>
      <c r="H150" s="40" t="n"/>
      <c r="I150" s="40" t="n"/>
      <c r="J150" s="40" t="n"/>
      <c r="K150" s="108" t="n"/>
      <c r="L150" s="42" t="n"/>
      <c r="M150" s="108" t="n"/>
      <c r="N150" s="108" t="n"/>
      <c r="O150" s="42" t="n"/>
      <c r="P150" s="40" t="n"/>
      <c r="Q150" s="40" t="n"/>
      <c r="R150" s="108" t="n"/>
      <c r="S150" s="108" t="n"/>
      <c r="T150" s="165">
        <f>IF(Q150="","",IF(Q150="L",ABS((N150-M150)/(M150-K150)),IF(Q150="S",ABS((M150-N150)/(K150-M150)),"")))</f>
        <v/>
      </c>
      <c r="U150" s="41" t="n"/>
      <c r="V150" s="40" t="n"/>
      <c r="W150" s="42">
        <f>IF(V150="","",IF(V150="SL",L150+Y150,IF(V150="TP",O150+Y150,"")))</f>
        <v/>
      </c>
      <c r="X150" s="42" t="n"/>
      <c r="Y150" s="42" t="n"/>
      <c r="Z150" s="42">
        <f>IF(OR(V150="",V150="tp"),"",IF(V150="sl",T150,""))</f>
        <v/>
      </c>
      <c r="AA150" s="42">
        <f>IF(OR(V150="",V150="sl"),"",IF(V150="tp",T150,""))</f>
        <v/>
      </c>
    </row>
    <row r="151" spans="1:27">
      <c r="A151" s="40" t="n">
        <v>148</v>
      </c>
      <c r="B151" s="40" t="n"/>
      <c r="C151" s="41" t="n"/>
      <c r="D151" s="108" t="n"/>
      <c r="E151" s="108" t="n"/>
      <c r="F151" s="108" t="n"/>
      <c r="G151" s="108" t="n"/>
      <c r="H151" s="40" t="n"/>
      <c r="I151" s="40" t="n"/>
      <c r="J151" s="40" t="n"/>
      <c r="K151" s="108" t="n"/>
      <c r="L151" s="42" t="n"/>
      <c r="M151" s="108" t="n"/>
      <c r="N151" s="108" t="n"/>
      <c r="O151" s="42" t="n"/>
      <c r="P151" s="40" t="n"/>
      <c r="Q151" s="40" t="n"/>
      <c r="R151" s="108" t="n"/>
      <c r="S151" s="108" t="n"/>
      <c r="T151" s="165">
        <f>IF(Q151="","",IF(Q151="L",ABS((N151-M151)/(M151-K151)),IF(Q151="S",ABS((M151-N151)/(K151-M151)),"")))</f>
        <v/>
      </c>
      <c r="U151" s="41" t="n"/>
      <c r="V151" s="40" t="n"/>
      <c r="W151" s="42">
        <f>IF(V151="","",IF(V151="SL",L151+Y151,IF(V151="TP",O151+Y151,"")))</f>
        <v/>
      </c>
      <c r="X151" s="42" t="n"/>
      <c r="Y151" s="42" t="n"/>
      <c r="Z151" s="42">
        <f>IF(OR(V151="",V151="tp"),"",IF(V151="sl",T151,""))</f>
        <v/>
      </c>
      <c r="AA151" s="42">
        <f>IF(OR(V151="",V151="sl"),"",IF(V151="tp",T151,""))</f>
        <v/>
      </c>
    </row>
    <row r="152" spans="1:27">
      <c r="A152" s="40" t="n">
        <v>149</v>
      </c>
      <c r="B152" s="40" t="n"/>
      <c r="C152" s="41" t="n"/>
      <c r="D152" s="108" t="n"/>
      <c r="E152" s="108" t="n"/>
      <c r="F152" s="108" t="n"/>
      <c r="G152" s="108" t="n"/>
      <c r="H152" s="40" t="n"/>
      <c r="I152" s="40" t="n"/>
      <c r="J152" s="40" t="n"/>
      <c r="K152" s="108" t="n"/>
      <c r="L152" s="42" t="n"/>
      <c r="M152" s="108" t="n"/>
      <c r="N152" s="108" t="n"/>
      <c r="O152" s="42" t="n"/>
      <c r="P152" s="40" t="n"/>
      <c r="Q152" s="40" t="n"/>
      <c r="R152" s="108" t="n"/>
      <c r="S152" s="108" t="n"/>
      <c r="T152" s="165">
        <f>IF(Q152="","",IF(Q152="L",ABS((N152-M152)/(M152-K152)),IF(Q152="S",ABS((M152-N152)/(K152-M152)),"")))</f>
        <v/>
      </c>
      <c r="U152" s="41" t="n"/>
      <c r="V152" s="40" t="n"/>
      <c r="W152" s="42">
        <f>IF(V152="","",IF(V152="SL",L152+Y152,IF(V152="TP",O152+Y152,"")))</f>
        <v/>
      </c>
      <c r="X152" s="42" t="n"/>
      <c r="Y152" s="42" t="n"/>
      <c r="Z152" s="42">
        <f>IF(OR(V152="",V152="tp"),"",IF(V152="sl",T152,""))</f>
        <v/>
      </c>
      <c r="AA152" s="42">
        <f>IF(OR(V152="",V152="sl"),"",IF(V152="tp",T152,""))</f>
        <v/>
      </c>
    </row>
    <row r="153" spans="1:27">
      <c r="A153" s="40" t="n">
        <v>150</v>
      </c>
      <c r="B153" s="40" t="n"/>
      <c r="C153" s="41" t="n"/>
      <c r="D153" s="108" t="n"/>
      <c r="E153" s="108" t="n"/>
      <c r="F153" s="108" t="n"/>
      <c r="G153" s="108" t="n"/>
      <c r="H153" s="40" t="n"/>
      <c r="I153" s="40" t="n"/>
      <c r="J153" s="40" t="n"/>
      <c r="K153" s="108" t="n"/>
      <c r="L153" s="42" t="n"/>
      <c r="M153" s="108" t="n"/>
      <c r="N153" s="108" t="n"/>
      <c r="O153" s="42" t="n"/>
      <c r="P153" s="40" t="n"/>
      <c r="Q153" s="40" t="n"/>
      <c r="R153" s="108" t="n"/>
      <c r="S153" s="108" t="n"/>
      <c r="T153" s="165">
        <f>IF(Q153="","",IF(Q153="L",ABS((N153-M153)/(M153-K153)),IF(Q153="S",ABS((M153-N153)/(K153-M153)),"")))</f>
        <v/>
      </c>
      <c r="U153" s="41" t="n"/>
      <c r="V153" s="40" t="n"/>
      <c r="W153" s="42">
        <f>IF(V153="","",IF(V153="SL",L153+Y153,IF(V153="TP",O153+Y153,"")))</f>
        <v/>
      </c>
      <c r="X153" s="42" t="n"/>
      <c r="Y153" s="42" t="n"/>
      <c r="Z153" s="42">
        <f>IF(OR(V153="",V153="tp"),"",IF(V153="sl",T153,""))</f>
        <v/>
      </c>
      <c r="AA153" s="42">
        <f>IF(OR(V153="",V153="sl"),"",IF(V153="tp",T153,""))</f>
        <v/>
      </c>
    </row>
  </sheetData>
  <autoFilter ref="A1:AA153">
    <filterColumn colId="16" showButton="0"/>
    <filterColumn colId="17" showButton="0"/>
  </autoFilter>
  <mergeCells count="24">
    <mergeCell ref="U1:U3"/>
    <mergeCell ref="V1:V3"/>
    <mergeCell ref="W1:W3"/>
    <mergeCell ref="O1:O3"/>
    <mergeCell ref="P1:P3"/>
    <mergeCell ref="Q2:Q3"/>
    <mergeCell ref="R2:R3"/>
    <mergeCell ref="S2:S3"/>
    <mergeCell ref="T1:T3"/>
    <mergeCell ref="A1:A3"/>
    <mergeCell ref="B1:B3"/>
    <mergeCell ref="C1:C3"/>
    <mergeCell ref="D1:D3"/>
    <mergeCell ref="E1:E3"/>
    <mergeCell ref="F1:F3"/>
    <mergeCell ref="G1:G3"/>
    <mergeCell ref="Q1:S1"/>
    <mergeCell ref="H1:H3"/>
    <mergeCell ref="I1:I3"/>
    <mergeCell ref="J1:J3"/>
    <mergeCell ref="K1:K3"/>
    <mergeCell ref="L1:L3"/>
    <mergeCell ref="M1:M3"/>
    <mergeCell ref="N1:N3"/>
  </mergeCells>
  <pageMargins bottom="0.75" footer="0.3" header="0.3" left="0.7" right="0.7" top="0.75"/>
</worksheet>
</file>

<file path=xl/worksheets/sheet3.xml><?xml version="1.0" encoding="utf-8"?>
<worksheet xmlns:r="http://schemas.openxmlformats.org/officeDocument/2006/relationships" xmlns="http://schemas.openxmlformats.org/spreadsheetml/2006/main">
  <sheetPr codeName="Sheet11">
    <outlinePr summaryBelow="1" summaryRight="1"/>
    <pageSetUpPr/>
  </sheetPr>
  <dimension ref="B2:N12"/>
  <sheetViews>
    <sheetView workbookViewId="0" zoomScale="90" zoomScaleNormal="90">
      <selection activeCell="I28" sqref="I28"/>
    </sheetView>
  </sheetViews>
  <sheetFormatPr baseColWidth="8" defaultColWidth="9.140625" defaultRowHeight="15" outlineLevelCol="0"/>
  <cols>
    <col customWidth="1" max="1" min="1" style="21" width="4"/>
    <col customWidth="1" max="2" min="2" style="21" width="3.85546875"/>
    <col customWidth="1" max="3" min="3" style="21" width="9.140625"/>
    <col customWidth="1" max="4" min="4" style="21" width="6.5703125"/>
    <col customWidth="1" max="5" min="5" style="21" width="10.85546875"/>
    <col customWidth="1" max="6" min="6" style="21" width="9.140625"/>
    <col customWidth="1" max="9" min="7" style="21" width="8.5703125"/>
    <col customWidth="1" max="10" min="10" style="21" width="9.7109375"/>
    <col customWidth="1" max="11" min="11" style="21" width="27.5703125"/>
    <col customWidth="1" max="15" min="12" style="21" width="9.140625"/>
    <col customWidth="1" max="16384" min="16" style="21" width="9.140625"/>
  </cols>
  <sheetData>
    <row customHeight="1" ht="30.75" r="2" spans="1:14">
      <c r="B2" s="1" t="n"/>
      <c r="C2" s="2" t="s">
        <v>48</v>
      </c>
      <c r="D2" s="2" t="s">
        <v>49</v>
      </c>
      <c r="E2" s="2" t="s">
        <v>50</v>
      </c>
      <c r="F2" s="1" t="s">
        <v>51</v>
      </c>
    </row>
    <row r="3" spans="1:14">
      <c r="B3" s="1" t="n">
        <v>1</v>
      </c>
      <c r="C3" s="1" t="s">
        <v>52</v>
      </c>
      <c r="D3" s="1" t="n">
        <v>0</v>
      </c>
      <c r="E3" s="1" t="n">
        <v>3</v>
      </c>
      <c r="F3" s="16" t="n">
        <v>7</v>
      </c>
      <c r="G3" s="15">
        <f>D3/E3</f>
        <v/>
      </c>
      <c r="H3" s="21" t="n">
        <v>0.42</v>
      </c>
    </row>
    <row r="4" spans="1:14">
      <c r="B4" s="1" t="n">
        <v>2</v>
      </c>
      <c r="C4" s="1" t="s">
        <v>53</v>
      </c>
      <c r="D4" s="1" t="n">
        <v>4</v>
      </c>
      <c r="E4" s="1" t="n">
        <v>9</v>
      </c>
      <c r="F4" s="16" t="n">
        <v>21</v>
      </c>
      <c r="G4" s="15">
        <f>D4/E4</f>
        <v/>
      </c>
      <c r="H4" s="21" t="n">
        <v>0.42</v>
      </c>
    </row>
    <row r="5" spans="1:14">
      <c r="B5" s="1" t="n">
        <v>3</v>
      </c>
      <c r="C5" s="1" t="s">
        <v>54</v>
      </c>
      <c r="D5" s="1" t="n">
        <v>9</v>
      </c>
      <c r="E5" s="1" t="n">
        <v>21</v>
      </c>
      <c r="F5" s="16" t="n">
        <v>50</v>
      </c>
      <c r="G5" s="15">
        <f>D5/E5</f>
        <v/>
      </c>
      <c r="H5" s="15">
        <f>E5/F5</f>
        <v/>
      </c>
    </row>
    <row r="6" spans="1:14">
      <c r="B6" s="1" t="n">
        <v>4</v>
      </c>
      <c r="C6" s="1" t="s">
        <v>55</v>
      </c>
      <c r="D6" s="1" t="n">
        <v>15</v>
      </c>
      <c r="E6" s="1" t="n">
        <v>34</v>
      </c>
      <c r="F6" s="16" t="n">
        <v>81</v>
      </c>
      <c r="G6" s="15">
        <f>D6/E6</f>
        <v/>
      </c>
      <c r="H6" s="21" t="n">
        <v>0.42</v>
      </c>
    </row>
    <row r="7" spans="1:14">
      <c r="B7" s="1" t="n">
        <v>5</v>
      </c>
      <c r="C7" s="1" t="s">
        <v>56</v>
      </c>
      <c r="D7" s="1" t="n">
        <v>22</v>
      </c>
      <c r="E7" s="1" t="n">
        <v>51</v>
      </c>
      <c r="F7" s="16" t="n">
        <v>121</v>
      </c>
      <c r="G7" s="15">
        <f>D7/E7</f>
        <v/>
      </c>
      <c r="H7" s="21" t="n">
        <v>0.42</v>
      </c>
    </row>
    <row r="8" spans="1:14">
      <c r="B8" s="1" t="n">
        <v>6</v>
      </c>
      <c r="C8" s="1" t="s">
        <v>57</v>
      </c>
      <c r="D8" s="1" t="n">
        <v>26</v>
      </c>
      <c r="E8" s="1" t="n">
        <v>61</v>
      </c>
      <c r="F8" s="16" t="n">
        <v>145</v>
      </c>
      <c r="G8" s="15">
        <f>D8/E8</f>
        <v/>
      </c>
      <c r="H8" s="21" t="n">
        <v>0.42</v>
      </c>
    </row>
    <row r="9" spans="1:14">
      <c r="B9" s="1" t="n">
        <v>7</v>
      </c>
      <c r="C9" s="1" t="s">
        <v>58</v>
      </c>
      <c r="D9" s="1" t="n">
        <v>31</v>
      </c>
      <c r="E9" s="1" t="n">
        <v>73</v>
      </c>
      <c r="F9" s="16" t="n">
        <v>174</v>
      </c>
      <c r="G9" s="15">
        <f>D9/E9</f>
        <v/>
      </c>
      <c r="H9" s="21" t="n">
        <v>0.42</v>
      </c>
    </row>
    <row r="10" spans="1:14">
      <c r="B10" s="1" t="n">
        <v>8</v>
      </c>
      <c r="C10" s="1" t="s">
        <v>59</v>
      </c>
      <c r="D10" s="1" t="n">
        <v>41</v>
      </c>
      <c r="E10" s="1" t="n">
        <v>95</v>
      </c>
      <c r="F10" s="16" t="n">
        <v>226</v>
      </c>
      <c r="G10" s="15">
        <f>D10/E10</f>
        <v/>
      </c>
      <c r="H10" s="21" t="n">
        <v>0.42</v>
      </c>
    </row>
    <row r="11" spans="1:14">
      <c r="B11" s="1" t="n">
        <v>9</v>
      </c>
      <c r="C11" s="1" t="s">
        <v>52</v>
      </c>
      <c r="D11" s="1" t="n">
        <v>62</v>
      </c>
      <c r="E11" s="1" t="n">
        <v>143</v>
      </c>
      <c r="F11" s="16" t="n">
        <v>340</v>
      </c>
      <c r="G11" s="15">
        <f>D11/E11</f>
        <v/>
      </c>
      <c r="H11" s="21" t="n">
        <v>0.42</v>
      </c>
      <c r="N11" s="166" t="n"/>
    </row>
    <row r="12" spans="1:14">
      <c r="N12" s="166" t="n"/>
    </row>
  </sheetData>
  <pageMargins bottom="0.75" footer="0.3" header="0.3" left="0.7" right="0.7" top="0.75"/>
  <drawing r:id="rId1"/>
</worksheet>
</file>

<file path=docProps/app.xml><?xml version="1.0" encoding="utf-8"?>
<Properties xmlns="http://schemas.openxmlformats.org/officeDocument/2006/extended-properties">
  <Application>Microsoft Excel</Application>
  <AppVersion>2.5</AppVersion>
</Properties>
</file>

<file path=docProps/core.xml><?xml version="1.0" encoding="utf-8"?>
<cp:coreProperties xmlns:cp="http://schemas.openxmlformats.org/package/2006/metadata/core-properties" xmlns:dc="http://purl.org/dc/elements/1.1/" xmlns:dcterms="http://purl.org/dc/terms/" xmlns:xsi="http://www.w3.org/2001/XMLSchema-instance">
  <dc:creator>Ацарих Кубарих Дуло</dc:creator>
  <dcterms:created xsi:type="dcterms:W3CDTF">2016-10-16T08:44:22Z</dcterms:created>
  <dcterms:modified xsi:type="dcterms:W3CDTF">2018-10-30T11:59:10Z</dcterms:modified>
  <cp:lastModifiedBy>Ivanov, Lyubomir (L.)</cp:lastModifiedBy>
</cp:coreProperties>
</file>